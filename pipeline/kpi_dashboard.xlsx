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Charts" sheetId="3" state="visible" r:id="rId3"/>
    <sheet xmlns:r="http://schemas.openxmlformats.org/officeDocument/2006/relationships" name="Read Me" sheetId="4" state="visible" r:id="rId4"/>
    <sheet xmlns:r="http://schemas.openxmlformats.org/officeDocument/2006/relationships" name="KPI Schedule" sheetId="5" state="visible" r:id="rId5"/>
    <sheet xmlns:r="http://schemas.openxmlformats.org/officeDocument/2006/relationships" name="Customers" sheetId="6" state="visible" r:id="rId6"/>
    <sheet xmlns:r="http://schemas.openxmlformats.org/officeDocument/2006/relationships" name="KPI_Data" sheetId="7" state="visible" r:id="rId7"/>
    <sheet xmlns:r="http://schemas.openxmlformats.org/officeDocument/2006/relationships" name="Exceptions" sheetId="8" state="visible" r:id="rId8"/>
    <sheet xmlns:r="http://schemas.openxmlformats.org/officeDocument/2006/relationships" name="Issue Log" sheetId="9" state="visible" r:id="rId9"/>
    <sheet xmlns:r="http://schemas.openxmlformats.org/officeDocument/2006/relationships"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xf numFmtId="170"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customXml" Target="../customXml/item1.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theme" Target="theme/theme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styles" Target="styles.xml"/><Relationship Id="rId5" Type="http://schemas.openxmlformats.org/officeDocument/2006/relationships/worksheet" Target="/xl/worksheets/sheet5.xml"/><Relationship Id="rId15" Type="http://schemas.openxmlformats.org/officeDocument/2006/relationships/customXml" Target="../customXml/item3.xml"/><Relationship Id="rId10" Type="http://schemas.openxmlformats.org/officeDocument/2006/relationships/worksheet" Target="/xl/worksheets/sheet10.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customXml" Target="../customXml/item2.xml"/></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Dock to Stock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Dashboard_Calc!B4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xmlns:a="http://schemas.openxmlformats.org/drawingml/2006/mai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307012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Cycle Count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Dashboard_Calc!H4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xmlns:a="http://schemas.openxmlformats.org/drawingml/2006/mai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77588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Cut Off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Dashboard_Calc!N4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xmlns:a="http://schemas.openxmlformats.org/drawingml/2006/mai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874847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Accuracy by Unit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Dashboard_Calc!T4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xmlns:a="http://schemas.openxmlformats.org/drawingml/2006/mai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537034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(overall)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Dashboard_Calc!Z4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xmlns:a="http://schemas.openxmlformats.org/drawingml/2006/mai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027031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by Carrier - latest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Dashboard_Calc!B19</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11690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Stock Accuracy by Year</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Dashboard_Calc!B24</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41962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F306/G306</f>
        <v/>
      </c>
      <c r="I306" s="49">
        <f>IF(H306&gt;=E306,"Yes","No")</f>
        <v/>
      </c>
    </row>
    <row r="307" ht="15" customHeight="1" s="50">
      <c r="A307" s="78" t="n">
        <v>46266</v>
      </c>
      <c r="B307" s="49" t="inlineStr">
        <is>
          <t>Baking Tech</t>
        </is>
      </c>
      <c r="C307" s="49" t="inlineStr">
        <is>
          <t>Dock to Stock</t>
        </is>
      </c>
      <c r="E307" s="79" t="n">
        <v>0.95</v>
      </c>
      <c r="F307" s="49" t="n">
        <v>1</v>
      </c>
      <c r="G307" s="49" t="n">
        <v>1</v>
      </c>
      <c r="H307" s="79">
        <f>F307/G307</f>
        <v/>
      </c>
      <c r="I307" s="49">
        <f>IF(H307&gt;=E307,"Yes","No")</f>
        <v/>
      </c>
    </row>
    <row r="308" ht="15" customHeight="1" s="50">
      <c r="A308" s="78" t="n">
        <v>46266</v>
      </c>
      <c r="B308" s="49" t="inlineStr">
        <is>
          <t>Coromandel Mountains Company Limited</t>
        </is>
      </c>
      <c r="C308" s="49" t="inlineStr">
        <is>
          <t>Dock to Stock</t>
        </is>
      </c>
      <c r="E308" s="79" t="n">
        <v>0.95</v>
      </c>
      <c r="F308" s="49" t="n">
        <v>1</v>
      </c>
      <c r="G308" s="49" t="n">
        <v>1</v>
      </c>
      <c r="H308" s="79">
        <f>F308/G308</f>
        <v/>
      </c>
      <c r="I308" s="49">
        <f>IF(H308&gt;=E308,"Yes","No")</f>
        <v/>
      </c>
    </row>
    <row r="309" ht="15" customHeight="1" s="50">
      <c r="A309" s="78" t="n">
        <v>46266</v>
      </c>
      <c r="B309" s="49" t="inlineStr">
        <is>
          <t>Flo &amp; Frankie</t>
        </is>
      </c>
      <c r="C309" s="49" t="inlineStr">
        <is>
          <t>Dock to Stock</t>
        </is>
      </c>
      <c r="E309" s="79" t="n">
        <v>0.95</v>
      </c>
      <c r="F309" s="49" t="n">
        <v>12</v>
      </c>
      <c r="G309" s="49" t="n">
        <v>13</v>
      </c>
      <c r="H309" s="79">
        <f>F309/G309</f>
        <v/>
      </c>
      <c r="I309" s="49">
        <f>IF(H309&gt;=E309,"Yes","No")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F310/G310</f>
        <v/>
      </c>
      <c r="I310" s="49">
        <f>IF(H310&gt;=E310,"Yes","No")</f>
        <v/>
      </c>
    </row>
    <row r="311" ht="15" customHeight="1" s="50">
      <c r="A311" s="78" t="n">
        <v>46266</v>
      </c>
      <c r="B311" s="49" t="inlineStr">
        <is>
          <t>May Eleven NZ</t>
        </is>
      </c>
      <c r="C311" s="49" t="inlineStr">
        <is>
          <t>Dock to Stock</t>
        </is>
      </c>
      <c r="E311" s="79" t="n">
        <v>0.95</v>
      </c>
      <c r="F311" s="49" t="n">
        <v>3</v>
      </c>
      <c r="G311" s="49" t="n">
        <v>3</v>
      </c>
      <c r="H311" s="79">
        <f>F311/G311</f>
        <v/>
      </c>
      <c r="I311" s="49">
        <f>IF(H311&gt;=E311,"Yes","No")</f>
        <v/>
      </c>
    </row>
    <row r="312" ht="15" customHeight="1" s="50">
      <c r="A312" s="78" t="n">
        <v>46266</v>
      </c>
      <c r="B312" s="49" t="inlineStr">
        <is>
          <t>Oricom</t>
        </is>
      </c>
      <c r="C312" s="49" t="inlineStr">
        <is>
          <t>Dock to Stock</t>
        </is>
      </c>
      <c r="E312" s="79" t="n">
        <v>0.95</v>
      </c>
      <c r="F312" s="49" t="n">
        <v>3</v>
      </c>
      <c r="G312" s="49" t="n">
        <v>4</v>
      </c>
      <c r="H312" s="79">
        <f>F312/G312</f>
        <v/>
      </c>
      <c r="I312" s="49">
        <f>IF(H312&gt;=E312,"Yes","No")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F313/G313</f>
        <v/>
      </c>
      <c r="I313" s="49">
        <f>IF(H313&gt;=E313,"Yes","No")</f>
        <v/>
      </c>
    </row>
    <row r="314" ht="15" customHeight="1" s="50">
      <c r="A314" s="78" t="n">
        <v>46266</v>
      </c>
      <c r="B314" s="49" t="inlineStr">
        <is>
          <t>Simply Clean</t>
        </is>
      </c>
      <c r="C314" s="49" t="inlineStr">
        <is>
          <t>Dock to Stock</t>
        </is>
      </c>
      <c r="E314" s="79" t="n">
        <v>0.95</v>
      </c>
      <c r="F314" s="49" t="n">
        <v>1</v>
      </c>
      <c r="G314" s="49" t="n">
        <v>1</v>
      </c>
      <c r="H314" s="79">
        <f>F314/G314</f>
        <v/>
      </c>
      <c r="I314" s="49">
        <f>IF(H314&gt;=E314,"Yes","No")</f>
        <v/>
      </c>
    </row>
    <row r="315" ht="15" customHeight="1" s="50">
      <c r="A315" s="78" t="n">
        <v>46266</v>
      </c>
      <c r="B315" s="49" t="inlineStr">
        <is>
          <t>Vixxen</t>
        </is>
      </c>
      <c r="C315" s="49" t="inlineStr">
        <is>
          <t>Dock to Stock</t>
        </is>
      </c>
      <c r="E315" s="79" t="n">
        <v>0.95</v>
      </c>
      <c r="F315" s="49" t="n">
        <v>2</v>
      </c>
      <c r="G315" s="49" t="n">
        <v>2</v>
      </c>
      <c r="H315" s="79">
        <f>F315/G315</f>
        <v/>
      </c>
      <c r="I315" s="49">
        <f>IF(H315&gt;=E315,"Yes","No")</f>
        <v/>
      </c>
    </row>
    <row r="316" ht="15" customHeight="1" s="50">
      <c r="A316" s="78" t="n">
        <v>46266</v>
      </c>
      <c r="B316" s="49" t="inlineStr">
        <is>
          <t>Aleger Studio</t>
        </is>
      </c>
      <c r="C316" s="49" t="inlineStr">
        <is>
          <t>Order Cut Off</t>
        </is>
      </c>
      <c r="E316" s="79" t="n">
        <v>0.95</v>
      </c>
      <c r="F316" s="49" t="n">
        <v>6</v>
      </c>
      <c r="G316" s="49" t="n">
        <v>6</v>
      </c>
      <c r="H316" s="79">
        <f>F316/G316</f>
        <v/>
      </c>
      <c r="I316" s="49">
        <f>IF(H316&gt;=E316,"Yes","No")</f>
        <v/>
      </c>
    </row>
    <row r="317" ht="15" customHeight="1" s="50">
      <c r="A317" s="78" t="n">
        <v>46266</v>
      </c>
      <c r="B317" s="49" t="inlineStr">
        <is>
          <t>Coromandel Mountains Company Limited</t>
        </is>
      </c>
      <c r="C317" s="49" t="inlineStr">
        <is>
          <t>Order Cut Off</t>
        </is>
      </c>
      <c r="E317" s="79" t="n">
        <v>0.95</v>
      </c>
      <c r="F317" s="49" t="n">
        <v>66</v>
      </c>
      <c r="G317" s="49" t="n">
        <v>66</v>
      </c>
      <c r="H317" s="79">
        <f>F317/G317</f>
        <v/>
      </c>
      <c r="I317" s="49">
        <f>IF(H317&gt;=E317,"Yes","No")</f>
        <v/>
      </c>
    </row>
    <row r="318" ht="15" customHeight="1" s="50">
      <c r="A318" s="78" t="n">
        <v>46266</v>
      </c>
      <c r="B318" s="49" t="inlineStr">
        <is>
          <t>EcoPallets</t>
        </is>
      </c>
      <c r="C318" s="49" t="inlineStr">
        <is>
          <t>Order Cut Off</t>
        </is>
      </c>
      <c r="E318" s="79" t="n">
        <v>0.95</v>
      </c>
      <c r="F318" s="49" t="n">
        <v>11</v>
      </c>
      <c r="G318" s="49" t="n">
        <v>14</v>
      </c>
      <c r="H318" s="79">
        <f>F318/G318</f>
        <v/>
      </c>
      <c r="I318" s="49">
        <f>IF(H318&gt;=E318,"Yes","No")</f>
        <v/>
      </c>
      <c r="J318" s="49" t="inlineStr">
        <is>
          <t>Below target - investigate root cause and add to next month's action plan</t>
        </is>
      </c>
    </row>
    <row r="319" ht="15" customHeight="1" s="50">
      <c r="A319" s="78" t="n">
        <v>46266</v>
      </c>
      <c r="B319" s="49" t="inlineStr">
        <is>
          <t>Flo &amp; Frankie</t>
        </is>
      </c>
      <c r="C319" s="49" t="inlineStr">
        <is>
          <t>Order Cut Off</t>
        </is>
      </c>
      <c r="E319" s="79" t="n">
        <v>0.95</v>
      </c>
      <c r="F319" s="49" t="n">
        <v>11</v>
      </c>
      <c r="G319" s="49" t="n">
        <v>12</v>
      </c>
      <c r="H319" s="79">
        <f>F319/G319</f>
        <v/>
      </c>
      <c r="I319" s="49">
        <f>IF(H319&gt;=E319,"Yes","No")</f>
        <v/>
      </c>
      <c r="J319" s="49" t="inlineStr">
        <is>
          <t>Below target - investigate root cause and add to next month's action plan</t>
        </is>
      </c>
    </row>
    <row r="320" ht="15" customHeight="1" s="50">
      <c r="A320" s="78" t="n">
        <v>46266</v>
      </c>
      <c r="B320" s="49" t="inlineStr">
        <is>
          <t>Gym Equip</t>
        </is>
      </c>
      <c r="C320" s="49" t="inlineStr">
        <is>
          <t>Order Cut Off</t>
        </is>
      </c>
      <c r="E320" s="79" t="n">
        <v>0.95</v>
      </c>
      <c r="F320" s="49" t="n">
        <v>14</v>
      </c>
      <c r="G320" s="49" t="n">
        <v>16</v>
      </c>
      <c r="H320" s="79">
        <f>F320/G320</f>
        <v/>
      </c>
      <c r="I320" s="49">
        <f>IF(H320&gt;=E320,"Yes","No")</f>
        <v/>
      </c>
      <c r="J320" s="49" t="inlineStr">
        <is>
          <t>Below target - investigate root cause and add to next month's action plan</t>
        </is>
      </c>
    </row>
    <row r="321" ht="15" customHeight="1" s="50">
      <c r="A321" s="78" t="n">
        <v>46266</v>
      </c>
      <c r="B321" s="49" t="inlineStr">
        <is>
          <t>Jock Freight - SECA</t>
        </is>
      </c>
      <c r="C321" s="49" t="inlineStr">
        <is>
          <t>Order Cut Off</t>
        </is>
      </c>
      <c r="E321" s="79" t="n">
        <v>0.95</v>
      </c>
      <c r="F321" s="49" t="n">
        <v>11</v>
      </c>
      <c r="G321" s="49" t="n">
        <v>11</v>
      </c>
      <c r="H321" s="79">
        <f>F321/G321</f>
        <v/>
      </c>
      <c r="I321" s="49">
        <f>IF(H321&gt;=E321,"Yes","No")</f>
        <v/>
      </c>
    </row>
    <row r="322" ht="15" customHeight="1" s="50">
      <c r="A322" s="78" t="n">
        <v>46266</v>
      </c>
      <c r="B322" s="49" t="inlineStr">
        <is>
          <t>Logwin - Sikla</t>
        </is>
      </c>
      <c r="C322" s="49" t="inlineStr">
        <is>
          <t>Order Cut Off</t>
        </is>
      </c>
      <c r="E322" s="79" t="n">
        <v>0.95</v>
      </c>
      <c r="F322" s="49" t="n">
        <v>7</v>
      </c>
      <c r="G322" s="49" t="n">
        <v>7</v>
      </c>
      <c r="H322" s="79">
        <f>F322/G322</f>
        <v/>
      </c>
      <c r="I322" s="49">
        <f>IF(H322&gt;=E322,"Yes","No")</f>
        <v/>
      </c>
    </row>
    <row r="323" ht="15" customHeight="1" s="50">
      <c r="A323" s="78" t="n">
        <v>46266</v>
      </c>
      <c r="B323" s="49" t="inlineStr">
        <is>
          <t>Made Group NZ</t>
        </is>
      </c>
      <c r="C323" s="49" t="inlineStr">
        <is>
          <t>Order Cut Off</t>
        </is>
      </c>
      <c r="E323" s="79" t="n">
        <v>0.95</v>
      </c>
      <c r="F323" s="49" t="n">
        <v>4</v>
      </c>
      <c r="G323" s="49" t="n">
        <v>4</v>
      </c>
      <c r="H323" s="79">
        <f>F323/G323</f>
        <v/>
      </c>
      <c r="I323" s="49">
        <f>IF(H323&gt;=E323,"Yes","No")</f>
        <v/>
      </c>
    </row>
    <row r="324" ht="15" customHeight="1" s="50">
      <c r="A324" s="78" t="n">
        <v>46266</v>
      </c>
      <c r="B324" s="49" t="inlineStr">
        <is>
          <t>May Eleven NZ</t>
        </is>
      </c>
      <c r="C324" s="49" t="inlineStr">
        <is>
          <t>Order Cut Off</t>
        </is>
      </c>
      <c r="E324" s="79" t="n">
        <v>0.95</v>
      </c>
      <c r="F324" s="49" t="n">
        <v>1</v>
      </c>
      <c r="G324" s="49" t="n">
        <v>1</v>
      </c>
      <c r="H324" s="79">
        <f>F324/G324</f>
        <v/>
      </c>
      <c r="I324" s="49">
        <f>IF(H324&gt;=E324,"Yes","No")</f>
        <v/>
      </c>
    </row>
    <row r="325" ht="15" customHeight="1" s="50">
      <c r="A325" s="78" t="n">
        <v>46266</v>
      </c>
      <c r="B325" s="49" t="inlineStr">
        <is>
          <t>Oceanbridge</t>
        </is>
      </c>
      <c r="C325" s="49" t="inlineStr">
        <is>
          <t>Order Cut Off</t>
        </is>
      </c>
      <c r="E325" s="79" t="n">
        <v>0.95</v>
      </c>
      <c r="F325" s="49" t="n">
        <v>2</v>
      </c>
      <c r="G325" s="49" t="n">
        <v>2</v>
      </c>
      <c r="H325" s="79">
        <f>F325/G325</f>
        <v/>
      </c>
      <c r="I325" s="49">
        <f>IF(H325&gt;=E325,"Yes","No")</f>
        <v/>
      </c>
    </row>
    <row r="326" ht="15" customHeight="1" s="50">
      <c r="A326" s="78" t="n">
        <v>46266</v>
      </c>
      <c r="B326" s="49" t="inlineStr">
        <is>
          <t>Oricom</t>
        </is>
      </c>
      <c r="C326" s="49" t="inlineStr">
        <is>
          <t>Order Cut Off</t>
        </is>
      </c>
      <c r="E326" s="79" t="n">
        <v>0.95</v>
      </c>
      <c r="F326" s="49" t="n">
        <v>139</v>
      </c>
      <c r="G326" s="49" t="n">
        <v>140</v>
      </c>
      <c r="H326" s="79">
        <f>F326/G326</f>
        <v/>
      </c>
      <c r="I326" s="49">
        <f>IF(H326&gt;=E326,"Yes","No")</f>
        <v/>
      </c>
    </row>
    <row r="327" ht="15" customHeight="1" s="50">
      <c r="A327" s="78" t="n">
        <v>46266</v>
      </c>
      <c r="B327" s="49" t="inlineStr">
        <is>
          <t>Purify Me</t>
        </is>
      </c>
      <c r="C327" s="49" t="inlineStr">
        <is>
          <t>Order Cut Off</t>
        </is>
      </c>
      <c r="E327" s="79" t="n">
        <v>0.95</v>
      </c>
      <c r="F327" s="49" t="n">
        <v>99</v>
      </c>
      <c r="G327" s="49" t="n">
        <v>100</v>
      </c>
      <c r="H327" s="79">
        <f>F327/G327</f>
        <v/>
      </c>
      <c r="I327" s="49">
        <f>IF(H327&gt;=E327,"Yes","No")</f>
        <v/>
      </c>
    </row>
    <row r="328" ht="15" customHeight="1" s="50">
      <c r="A328" s="78" t="n">
        <v>46266</v>
      </c>
      <c r="B328" s="49" t="inlineStr">
        <is>
          <t>Salt Shark</t>
        </is>
      </c>
      <c r="C328" s="49" t="inlineStr">
        <is>
          <t>Order Cut Off</t>
        </is>
      </c>
      <c r="E328" s="79" t="n">
        <v>0.95</v>
      </c>
      <c r="F328" s="49" t="n">
        <v>54</v>
      </c>
      <c r="G328" s="49" t="n">
        <v>57</v>
      </c>
      <c r="H328" s="79">
        <f>F328/G328</f>
        <v/>
      </c>
      <c r="I328" s="49">
        <f>IF(H328&gt;=E328,"Yes","No")</f>
        <v/>
      </c>
      <c r="J328" s="49" t="inlineStr">
        <is>
          <t>Below target - investigate root cause and add to next month's action plan</t>
        </is>
      </c>
    </row>
    <row r="329" ht="15" customHeight="1" s="50">
      <c r="A329" s="78" t="n">
        <v>46266</v>
      </c>
      <c r="B329" s="49" t="inlineStr">
        <is>
          <t>Samsung Batteries CP</t>
        </is>
      </c>
      <c r="C329" s="49" t="inlineStr">
        <is>
          <t>Order Cut Off</t>
        </is>
      </c>
      <c r="E329" s="79" t="n">
        <v>0.95</v>
      </c>
      <c r="F329" s="49" t="n">
        <v>3</v>
      </c>
      <c r="G329" s="49" t="n">
        <v>4</v>
      </c>
      <c r="H329" s="79">
        <f>F329/G329</f>
        <v/>
      </c>
      <c r="I329" s="49">
        <f>IF(H329&gt;=E329,"Yes","No")</f>
        <v/>
      </c>
      <c r="J329" s="49" t="inlineStr">
        <is>
          <t>Below target - investigate root cause and add to next month's action plan</t>
        </is>
      </c>
    </row>
    <row r="330" ht="15" customHeight="1" s="50">
      <c r="A330" s="78" t="n">
        <v>46266</v>
      </c>
      <c r="B330" s="49" t="inlineStr">
        <is>
          <t>Simply Clean</t>
        </is>
      </c>
      <c r="C330" s="49" t="inlineStr">
        <is>
          <t>Order Cut Off</t>
        </is>
      </c>
      <c r="E330" s="79" t="n">
        <v>0.95</v>
      </c>
      <c r="F330" s="49" t="n">
        <v>170</v>
      </c>
      <c r="G330" s="49" t="n">
        <v>180</v>
      </c>
      <c r="H330" s="79">
        <f>F330/G330</f>
        <v/>
      </c>
      <c r="I330" s="49">
        <f>IF(H330&gt;=E330,"Yes","No")</f>
        <v/>
      </c>
      <c r="J330" s="49" t="inlineStr">
        <is>
          <t>Below target - investigate root cause and add to next month's action plan</t>
        </is>
      </c>
    </row>
    <row r="331" ht="15" customHeight="1" s="50">
      <c r="A331" s="78" t="n">
        <v>46266</v>
      </c>
      <c r="B331" s="49" t="inlineStr">
        <is>
          <t>Stryx</t>
        </is>
      </c>
      <c r="C331" s="49" t="inlineStr">
        <is>
          <t>Order Cut Off</t>
        </is>
      </c>
      <c r="E331" s="79" t="n">
        <v>0.95</v>
      </c>
      <c r="F331" s="49" t="n">
        <v>34</v>
      </c>
      <c r="G331" s="49" t="n">
        <v>37</v>
      </c>
      <c r="H331" s="79">
        <f>F331/G331</f>
        <v/>
      </c>
      <c r="I331" s="49">
        <f>IF(H331&gt;=E331,"Yes","No")</f>
        <v/>
      </c>
      <c r="J331" s="49" t="inlineStr">
        <is>
          <t>Below target - investigate root cause and add to next month's action plan</t>
        </is>
      </c>
    </row>
    <row r="332" ht="15" customHeight="1" s="50">
      <c r="A332" s="78" t="n">
        <v>46266</v>
      </c>
      <c r="B332" s="49" t="inlineStr">
        <is>
          <t>Vixxen</t>
        </is>
      </c>
      <c r="C332" s="49" t="inlineStr">
        <is>
          <t>Order Cut Off</t>
        </is>
      </c>
      <c r="E332" s="79" t="n">
        <v>0.95</v>
      </c>
      <c r="F332" s="49" t="n">
        <v>364</v>
      </c>
      <c r="G332" s="49" t="n">
        <v>365</v>
      </c>
      <c r="H332" s="79">
        <f>F332/G332</f>
        <v/>
      </c>
      <c r="I332" s="49">
        <f>IF(H332&gt;=E332,"Yes","No")</f>
        <v/>
      </c>
    </row>
    <row r="333" ht="15" customHeight="1" s="50">
      <c r="A333" s="78" t="n">
        <v>46266</v>
      </c>
      <c r="B333" s="49" t="inlineStr">
        <is>
          <t>Aleger Studio</t>
        </is>
      </c>
      <c r="C333" s="49" t="inlineStr">
        <is>
          <t>Order Accuracy by Unit</t>
        </is>
      </c>
      <c r="E333" s="79" t="n">
        <v>0.995</v>
      </c>
      <c r="F333" s="49" t="n">
        <v>8</v>
      </c>
      <c r="G333" s="49" t="n">
        <v>8</v>
      </c>
      <c r="H333" s="79">
        <f>F333/G333</f>
        <v/>
      </c>
      <c r="I333" s="49">
        <f>IF(H333&gt;=E333,"Yes","No")</f>
        <v/>
      </c>
    </row>
    <row r="334" ht="15" customHeight="1" s="50">
      <c r="A334" s="78" t="n">
        <v>46266</v>
      </c>
      <c r="B334" s="49" t="inlineStr">
        <is>
          <t>Baking Tech</t>
        </is>
      </c>
      <c r="C334" s="49" t="inlineStr">
        <is>
          <t>Order Accuracy by Unit</t>
        </is>
      </c>
      <c r="E334" s="79" t="n">
        <v>0.995</v>
      </c>
      <c r="F334" s="49" t="n">
        <v>1</v>
      </c>
      <c r="G334" s="49" t="n">
        <v>1</v>
      </c>
      <c r="H334" s="79">
        <f>F334/G334</f>
        <v/>
      </c>
      <c r="I334" s="49">
        <f>IF(H334&gt;=E334,"Yes","No")</f>
        <v/>
      </c>
    </row>
    <row r="335" ht="15" customHeight="1" s="50">
      <c r="A335" s="78" t="n">
        <v>46266</v>
      </c>
      <c r="B335" s="49" t="inlineStr">
        <is>
          <t>Coromandel Mountains Company Limited</t>
        </is>
      </c>
      <c r="C335" s="49" t="inlineStr">
        <is>
          <t>Order Accuracy by Unit</t>
        </is>
      </c>
      <c r="E335" s="79" t="n">
        <v>0.995</v>
      </c>
      <c r="F335" s="49" t="n">
        <v>715</v>
      </c>
      <c r="G335" s="49" t="n">
        <v>715</v>
      </c>
      <c r="H335" s="79">
        <f>F335/G335</f>
        <v/>
      </c>
      <c r="I335" s="49">
        <f>IF(H335&gt;=E335,"Yes","No")</f>
        <v/>
      </c>
    </row>
    <row r="336" ht="15" customHeight="1" s="50">
      <c r="A336" s="78" t="n">
        <v>46266</v>
      </c>
      <c r="B336" s="49" t="inlineStr">
        <is>
          <t>EcoPallets</t>
        </is>
      </c>
      <c r="C336" s="49" t="inlineStr">
        <is>
          <t>Order Accuracy by Unit</t>
        </is>
      </c>
      <c r="E336" s="79" t="n">
        <v>0.995</v>
      </c>
      <c r="F336" s="49" t="n">
        <v>484</v>
      </c>
      <c r="G336" s="49" t="n">
        <v>484</v>
      </c>
      <c r="H336" s="79">
        <f>F336/G336</f>
        <v/>
      </c>
      <c r="I336" s="49">
        <f>IF(H336&gt;=E336,"Yes","No")</f>
        <v/>
      </c>
    </row>
    <row r="337" ht="15" customHeight="1" s="50">
      <c r="A337" s="78" t="n">
        <v>46266</v>
      </c>
      <c r="B337" s="49" t="inlineStr">
        <is>
          <t>Flo &amp; Frankie</t>
        </is>
      </c>
      <c r="C337" s="49" t="inlineStr">
        <is>
          <t>Order Accuracy by Unit</t>
        </is>
      </c>
      <c r="E337" s="79" t="n">
        <v>0.995</v>
      </c>
      <c r="F337" s="49" t="n">
        <v>633</v>
      </c>
      <c r="G337" s="49" t="n">
        <v>633</v>
      </c>
      <c r="H337" s="79">
        <f>F337/G337</f>
        <v/>
      </c>
      <c r="I337" s="49">
        <f>IF(H337&gt;=E337,"Yes","No")</f>
        <v/>
      </c>
    </row>
    <row r="338" ht="15" customHeight="1" s="50">
      <c r="A338" s="78" t="n">
        <v>46266</v>
      </c>
      <c r="B338" s="49" t="inlineStr">
        <is>
          <t>Gym Equip</t>
        </is>
      </c>
      <c r="C338" s="49" t="inlineStr">
        <is>
          <t>Order Accuracy by Unit</t>
        </is>
      </c>
      <c r="E338" s="79" t="n">
        <v>0.995</v>
      </c>
      <c r="F338" s="49" t="n">
        <v>384</v>
      </c>
      <c r="G338" s="49" t="n">
        <v>384</v>
      </c>
      <c r="H338" s="79">
        <f>F338/G338</f>
        <v/>
      </c>
      <c r="I338" s="49">
        <f>IF(H338&gt;=E338,"Yes","No")</f>
        <v/>
      </c>
    </row>
    <row r="339" ht="15" customHeight="1" s="50">
      <c r="A339" s="78" t="n">
        <v>46266</v>
      </c>
      <c r="B339" s="49" t="inlineStr">
        <is>
          <t>Interior Images</t>
        </is>
      </c>
      <c r="C339" s="49" t="inlineStr">
        <is>
          <t>Order Accuracy by Unit</t>
        </is>
      </c>
      <c r="E339" s="79" t="n">
        <v>0.995</v>
      </c>
      <c r="F339" s="49" t="n">
        <v>14</v>
      </c>
      <c r="G339" s="49" t="n">
        <v>14</v>
      </c>
      <c r="H339" s="79">
        <f>F339/G339</f>
        <v/>
      </c>
      <c r="I339" s="49">
        <f>IF(H339&gt;=E339,"Yes","No")</f>
        <v/>
      </c>
    </row>
    <row r="340" ht="15" customHeight="1" s="50">
      <c r="A340" s="78" t="n">
        <v>46266</v>
      </c>
      <c r="B340" s="49" t="inlineStr">
        <is>
          <t>Jock Freight - SECA</t>
        </is>
      </c>
      <c r="C340" s="49" t="inlineStr">
        <is>
          <t>Order Accuracy by Unit</t>
        </is>
      </c>
      <c r="E340" s="79" t="n">
        <v>0.995</v>
      </c>
      <c r="F340" s="49" t="n">
        <v>972</v>
      </c>
      <c r="G340" s="49" t="n">
        <v>972</v>
      </c>
      <c r="H340" s="79">
        <f>F340/G340</f>
        <v/>
      </c>
      <c r="I340" s="49">
        <f>IF(H340&gt;=E340,"Yes","No")</f>
        <v/>
      </c>
    </row>
    <row r="341" ht="15" customHeight="1" s="50">
      <c r="A341" s="78" t="n">
        <v>46266</v>
      </c>
      <c r="B341" s="49" t="inlineStr">
        <is>
          <t>Logwin - Sikla</t>
        </is>
      </c>
      <c r="C341" s="49" t="inlineStr">
        <is>
          <t>Order Accuracy by Unit</t>
        </is>
      </c>
      <c r="E341" s="79" t="n">
        <v>0.995</v>
      </c>
      <c r="F341" s="49" t="n">
        <v>5163</v>
      </c>
      <c r="G341" s="49" t="n">
        <v>5163</v>
      </c>
      <c r="H341" s="79">
        <f>F341/G341</f>
        <v/>
      </c>
      <c r="I341" s="49">
        <f>IF(H341&gt;=E341,"Yes","No")</f>
        <v/>
      </c>
    </row>
    <row r="342" ht="15" customHeight="1" s="50">
      <c r="A342" s="78" t="n">
        <v>46266</v>
      </c>
      <c r="B342" s="49" t="inlineStr">
        <is>
          <t>Made Group NZ</t>
        </is>
      </c>
      <c r="C342" s="49" t="inlineStr">
        <is>
          <t>Order Accuracy by Unit</t>
        </is>
      </c>
      <c r="E342" s="79" t="n">
        <v>0.995</v>
      </c>
      <c r="F342" s="49" t="n">
        <v>14190</v>
      </c>
      <c r="G342" s="49" t="n">
        <v>14190</v>
      </c>
      <c r="H342" s="79">
        <f>F342/G342</f>
        <v/>
      </c>
      <c r="I342" s="49">
        <f>IF(H342&gt;=E342,"Yes","No")</f>
        <v/>
      </c>
    </row>
    <row r="343" ht="15" customHeight="1" s="50">
      <c r="A343" s="78" t="n">
        <v>46266</v>
      </c>
      <c r="B343" s="49" t="inlineStr">
        <is>
          <t>May Eleven NZ</t>
        </is>
      </c>
      <c r="C343" s="49" t="inlineStr">
        <is>
          <t>Order Accuracy by Unit</t>
        </is>
      </c>
      <c r="E343" s="79" t="n">
        <v>0.995</v>
      </c>
      <c r="F343" s="49" t="n">
        <v>1500</v>
      </c>
      <c r="G343" s="49" t="n">
        <v>1500</v>
      </c>
      <c r="H343" s="79">
        <f>F343/G343</f>
        <v/>
      </c>
      <c r="I343" s="49">
        <f>IF(H343&gt;=E343,"Yes","No")</f>
        <v/>
      </c>
    </row>
    <row r="344" ht="15" customHeight="1" s="50">
      <c r="A344" s="78" t="n">
        <v>46266</v>
      </c>
      <c r="B344" s="49" t="inlineStr">
        <is>
          <t>Oceanbridge</t>
        </is>
      </c>
      <c r="C344" s="49" t="inlineStr">
        <is>
          <t>Order Accuracy by Unit</t>
        </is>
      </c>
      <c r="E344" s="79" t="n">
        <v>0.995</v>
      </c>
      <c r="F344" s="49" t="n">
        <v>55</v>
      </c>
      <c r="G344" s="49" t="n">
        <v>55</v>
      </c>
      <c r="H344" s="79">
        <f>F344/G344</f>
        <v/>
      </c>
      <c r="I344" s="49">
        <f>IF(H344&gt;=E344,"Yes","No")</f>
        <v/>
      </c>
    </row>
    <row r="345" ht="15" customHeight="1" s="50">
      <c r="A345" s="78" t="n">
        <v>46266</v>
      </c>
      <c r="B345" s="49" t="inlineStr">
        <is>
          <t>Oricom</t>
        </is>
      </c>
      <c r="C345" s="49" t="inlineStr">
        <is>
          <t>Order Accuracy by Unit</t>
        </is>
      </c>
      <c r="E345" s="79" t="n">
        <v>0.995</v>
      </c>
      <c r="F345" s="49" t="n">
        <v>1075</v>
      </c>
      <c r="G345" s="49" t="n">
        <v>1075</v>
      </c>
      <c r="H345" s="79">
        <f>F345/G345</f>
        <v/>
      </c>
      <c r="I345" s="49">
        <f>IF(H345&gt;=E345,"Yes","No")</f>
        <v/>
      </c>
    </row>
    <row r="346" ht="15" customHeight="1" s="50">
      <c r="A346" s="78" t="n">
        <v>46266</v>
      </c>
      <c r="B346" s="49" t="inlineStr">
        <is>
          <t>Purify Me</t>
        </is>
      </c>
      <c r="C346" s="49" t="inlineStr">
        <is>
          <t>Order Accuracy by Unit</t>
        </is>
      </c>
      <c r="E346" s="79" t="n">
        <v>0.995</v>
      </c>
      <c r="F346" s="49" t="n">
        <v>211</v>
      </c>
      <c r="G346" s="49" t="n">
        <v>211</v>
      </c>
      <c r="H346" s="79">
        <f>F346/G346</f>
        <v/>
      </c>
      <c r="I346" s="49">
        <f>IF(H346&gt;=E346,"Yes","No")</f>
        <v/>
      </c>
    </row>
    <row r="347" ht="15" customHeight="1" s="50">
      <c r="A347" s="78" t="n">
        <v>46266</v>
      </c>
      <c r="B347" s="49" t="inlineStr">
        <is>
          <t>Salt Shark</t>
        </is>
      </c>
      <c r="C347" s="49" t="inlineStr">
        <is>
          <t>Order Accuracy by Unit</t>
        </is>
      </c>
      <c r="E347" s="79" t="n">
        <v>0.995</v>
      </c>
      <c r="F347" s="49" t="n">
        <v>334</v>
      </c>
      <c r="G347" s="49" t="n">
        <v>334</v>
      </c>
      <c r="H347" s="79">
        <f>F347/G347</f>
        <v/>
      </c>
      <c r="I347" s="49">
        <f>IF(H347&gt;=E347,"Yes","No")</f>
        <v/>
      </c>
    </row>
    <row r="348" ht="15" customHeight="1" s="50">
      <c r="A348" s="78" t="n">
        <v>46266</v>
      </c>
      <c r="B348" s="49" t="inlineStr">
        <is>
          <t>Samsung Batteries CP</t>
        </is>
      </c>
      <c r="C348" s="49" t="inlineStr">
        <is>
          <t>Order Accuracy by Unit</t>
        </is>
      </c>
      <c r="E348" s="79" t="n">
        <v>0.995</v>
      </c>
      <c r="F348" s="49" t="n">
        <v>1329</v>
      </c>
      <c r="G348" s="49" t="n">
        <v>1329</v>
      </c>
      <c r="H348" s="79">
        <f>F348/G348</f>
        <v/>
      </c>
      <c r="I348" s="49">
        <f>IF(H348&gt;=E348,"Yes","No")</f>
        <v/>
      </c>
    </row>
    <row r="349" ht="15" customHeight="1" s="50">
      <c r="A349" s="78" t="n">
        <v>46266</v>
      </c>
      <c r="B349" s="49" t="inlineStr">
        <is>
          <t>Simply Clean</t>
        </is>
      </c>
      <c r="C349" s="49" t="inlineStr">
        <is>
          <t>Order Accuracy by Unit</t>
        </is>
      </c>
      <c r="E349" s="79" t="n">
        <v>0.995</v>
      </c>
      <c r="F349" s="49" t="n">
        <v>9658</v>
      </c>
      <c r="G349" s="49" t="n">
        <v>9658</v>
      </c>
      <c r="H349" s="79">
        <f>F349/G349</f>
        <v/>
      </c>
      <c r="I349" s="49">
        <f>IF(H349&gt;=E349,"Yes","No")</f>
        <v/>
      </c>
    </row>
    <row r="350" ht="15" customHeight="1" s="50">
      <c r="A350" s="78" t="n">
        <v>46266</v>
      </c>
      <c r="B350" s="49" t="inlineStr">
        <is>
          <t>Stryx</t>
        </is>
      </c>
      <c r="C350" s="49" t="inlineStr">
        <is>
          <t>Order Accuracy by Unit</t>
        </is>
      </c>
      <c r="E350" s="79" t="n">
        <v>0.995</v>
      </c>
      <c r="F350" s="49" t="n">
        <v>56</v>
      </c>
      <c r="G350" s="49" t="n">
        <v>56</v>
      </c>
      <c r="H350" s="79">
        <f>F350/G350</f>
        <v/>
      </c>
      <c r="I350" s="49">
        <f>IF(H350&gt;=E350,"Yes","No")</f>
        <v/>
      </c>
    </row>
    <row r="351" ht="15" customHeight="1" s="50">
      <c r="A351" s="78" t="n">
        <v>46266</v>
      </c>
      <c r="B351" s="49" t="inlineStr">
        <is>
          <t>Vixxen</t>
        </is>
      </c>
      <c r="C351" s="49" t="inlineStr">
        <is>
          <t>Order Accuracy by Unit</t>
        </is>
      </c>
      <c r="E351" s="79" t="n">
        <v>0.995</v>
      </c>
      <c r="F351" s="49" t="n">
        <v>9761</v>
      </c>
      <c r="G351" s="49" t="n">
        <v>9766</v>
      </c>
      <c r="H351" s="79">
        <f>F351/G351</f>
        <v/>
      </c>
      <c r="I351" s="49">
        <f>IF(H351&gt;=E351,"Yes","No")</f>
        <v/>
      </c>
    </row>
    <row r="352">
      <c r="A352" s="90" t="n">
        <v>46266</v>
      </c>
      <c r="B352" s="49" t="inlineStr">
        <is>
          <t>Aleger Studio</t>
        </is>
      </c>
      <c r="C352" s="49" t="inlineStr">
        <is>
          <t>Freight DIFOT</t>
        </is>
      </c>
      <c r="E352" s="49" t="n">
        <v>0.95</v>
      </c>
      <c r="F352" s="49" t="n">
        <v>6</v>
      </c>
      <c r="G352" s="49" t="n">
        <v>6</v>
      </c>
      <c r="H352" s="49">
        <f>F352/G352</f>
        <v/>
      </c>
      <c r="I352" s="49">
        <f>IF(H352&gt;=E352,"Yes","No")</f>
        <v/>
      </c>
    </row>
    <row r="353">
      <c r="A353" s="90" t="n">
        <v>46266</v>
      </c>
      <c r="B353" s="49" t="inlineStr">
        <is>
          <t>Coromandel Mountains Company Limited</t>
        </is>
      </c>
      <c r="C353" s="49" t="inlineStr">
        <is>
          <t>Freight DIFOT</t>
        </is>
      </c>
      <c r="E353" s="49" t="n">
        <v>0.95</v>
      </c>
      <c r="F353" s="49" t="n">
        <v>32</v>
      </c>
      <c r="G353" s="49" t="n">
        <v>34</v>
      </c>
      <c r="H353" s="49">
        <f>F353/G353</f>
        <v/>
      </c>
      <c r="I353" s="49">
        <f>IF(H353&gt;=E353,"Yes","No")</f>
        <v/>
      </c>
      <c r="J353" s="49" t="inlineStr">
        <is>
          <t>Below target - investigate root cause and add to next month's action plan</t>
        </is>
      </c>
    </row>
    <row r="354">
      <c r="A354" s="90" t="n">
        <v>46266</v>
      </c>
      <c r="B354" s="49" t="inlineStr">
        <is>
          <t>EcoPallets</t>
        </is>
      </c>
      <c r="C354" s="49" t="inlineStr">
        <is>
          <t>Freight DIFOT</t>
        </is>
      </c>
      <c r="E354" s="49" t="n">
        <v>0.95</v>
      </c>
      <c r="F354" s="49" t="n">
        <v>7</v>
      </c>
      <c r="G354" s="49" t="n">
        <v>8</v>
      </c>
      <c r="H354" s="49">
        <f>F354/G354</f>
        <v/>
      </c>
      <c r="I354" s="49">
        <f>IF(H354&gt;=E354,"Yes","No")</f>
        <v/>
      </c>
      <c r="J354" s="49" t="inlineStr">
        <is>
          <t>Below target - investigate root cause and add to next month's action plan</t>
        </is>
      </c>
    </row>
    <row r="355">
      <c r="A355" s="90" t="n">
        <v>46266</v>
      </c>
      <c r="B355" s="49" t="inlineStr">
        <is>
          <t>Flo &amp; Frankie</t>
        </is>
      </c>
      <c r="C355" s="49" t="inlineStr">
        <is>
          <t>Freight DIFOT</t>
        </is>
      </c>
      <c r="E355" s="49" t="n">
        <v>0.95</v>
      </c>
      <c r="F355" s="49" t="n">
        <v>12</v>
      </c>
      <c r="G355" s="49" t="n">
        <v>13</v>
      </c>
      <c r="H355" s="49">
        <f>F355/G355</f>
        <v/>
      </c>
      <c r="I355" s="49">
        <f>IF(H355&gt;=E355,"Yes","No")</f>
        <v/>
      </c>
      <c r="J355" s="49" t="inlineStr">
        <is>
          <t>Below target - investigate root cause and add to next month's action plan</t>
        </is>
      </c>
    </row>
    <row r="356">
      <c r="A356" s="90" t="n">
        <v>46266</v>
      </c>
      <c r="B356" s="49" t="inlineStr">
        <is>
          <t>Gym Equip</t>
        </is>
      </c>
      <c r="C356" s="49" t="inlineStr">
        <is>
          <t>Freight DIFOT</t>
        </is>
      </c>
      <c r="E356" s="49" t="n">
        <v>0.95</v>
      </c>
      <c r="F356" s="49" t="n">
        <v>17</v>
      </c>
      <c r="G356" s="49" t="n">
        <v>18</v>
      </c>
      <c r="H356" s="49">
        <f>F356/G356</f>
        <v/>
      </c>
      <c r="I356" s="49">
        <f>IF(H356&gt;=E356,"Yes","No")</f>
        <v/>
      </c>
      <c r="J356" s="49" t="inlineStr">
        <is>
          <t>Below target - investigate root cause and add to next month's action plan</t>
        </is>
      </c>
    </row>
    <row r="357">
      <c r="A357" s="90" t="n">
        <v>46266</v>
      </c>
      <c r="B357" s="49" t="inlineStr">
        <is>
          <t>Interior Images</t>
        </is>
      </c>
      <c r="C357" s="49" t="inlineStr">
        <is>
          <t>Freight DIFOT</t>
        </is>
      </c>
      <c r="E357" s="49" t="n">
        <v>0.95</v>
      </c>
      <c r="F357" s="49" t="n">
        <v>1</v>
      </c>
      <c r="G357" s="49" t="n">
        <v>1</v>
      </c>
      <c r="H357" s="49">
        <f>F357/G357</f>
        <v/>
      </c>
      <c r="I357" s="49">
        <f>IF(H357&gt;=E357,"Yes","No")</f>
        <v/>
      </c>
    </row>
    <row r="358">
      <c r="A358" s="90" t="n">
        <v>46266</v>
      </c>
      <c r="B358" s="49" t="inlineStr">
        <is>
          <t>Jock Freight - SECA</t>
        </is>
      </c>
      <c r="C358" s="49" t="inlineStr">
        <is>
          <t>Freight DIFOT</t>
        </is>
      </c>
      <c r="E358" s="49" t="n">
        <v>0.95</v>
      </c>
      <c r="F358" s="49" t="n">
        <v>9</v>
      </c>
      <c r="G358" s="49" t="n">
        <v>11</v>
      </c>
      <c r="H358" s="49">
        <f>F358/G358</f>
        <v/>
      </c>
      <c r="I358" s="49">
        <f>IF(H358&gt;=E358,"Yes","No")</f>
        <v/>
      </c>
      <c r="J358" s="49" t="inlineStr">
        <is>
          <t>Below target - investigate root cause and add to next month's action plan</t>
        </is>
      </c>
    </row>
    <row r="359">
      <c r="A359" s="90" t="n">
        <v>46266</v>
      </c>
      <c r="B359" s="49" t="inlineStr">
        <is>
          <t>Logwin - Sikla</t>
        </is>
      </c>
      <c r="C359" s="49" t="inlineStr">
        <is>
          <t>Freight DIFOT</t>
        </is>
      </c>
      <c r="E359" s="49" t="n">
        <v>0.95</v>
      </c>
      <c r="F359" s="49" t="n">
        <v>6</v>
      </c>
      <c r="G359" s="49" t="n">
        <v>6</v>
      </c>
      <c r="H359" s="49">
        <f>F359/G359</f>
        <v/>
      </c>
      <c r="I359" s="49">
        <f>IF(H359&gt;=E359,"Yes","No")</f>
        <v/>
      </c>
    </row>
    <row r="360">
      <c r="A360" s="90" t="n">
        <v>46266</v>
      </c>
      <c r="B360" s="49" t="inlineStr">
        <is>
          <t>Made Group NZ</t>
        </is>
      </c>
      <c r="C360" s="49" t="inlineStr">
        <is>
          <t>Freight DIFOT</t>
        </is>
      </c>
      <c r="E360" s="49" t="n">
        <v>0.95</v>
      </c>
      <c r="F360" s="49" t="n">
        <v>4</v>
      </c>
      <c r="G360" s="49" t="n">
        <v>4</v>
      </c>
      <c r="H360" s="49">
        <f>F360/G360</f>
        <v/>
      </c>
      <c r="I360" s="49">
        <f>IF(H360&gt;=E360,"Yes","No")</f>
        <v/>
      </c>
    </row>
    <row r="361">
      <c r="A361" s="90" t="n">
        <v>46266</v>
      </c>
      <c r="B361" s="49" t="inlineStr">
        <is>
          <t>May Eleven NZ</t>
        </is>
      </c>
      <c r="C361" s="49" t="inlineStr">
        <is>
          <t>Freight DIFOT</t>
        </is>
      </c>
      <c r="E361" s="49" t="n">
        <v>0.95</v>
      </c>
      <c r="F361" s="49" t="n">
        <v>2</v>
      </c>
      <c r="G361" s="49" t="n">
        <v>2</v>
      </c>
      <c r="H361" s="49">
        <f>F361/G361</f>
        <v/>
      </c>
      <c r="I361" s="49">
        <f>IF(H361&gt;=E361,"Yes","No")</f>
        <v/>
      </c>
    </row>
    <row r="362">
      <c r="A362" s="90" t="n">
        <v>46266</v>
      </c>
      <c r="B362" s="49" t="inlineStr">
        <is>
          <t>Oricom</t>
        </is>
      </c>
      <c r="C362" s="49" t="inlineStr">
        <is>
          <t>Freight DIFOT</t>
        </is>
      </c>
      <c r="E362" s="49" t="n">
        <v>0.95</v>
      </c>
      <c r="F362" s="49" t="n">
        <v>75</v>
      </c>
      <c r="G362" s="49" t="n">
        <v>79</v>
      </c>
      <c r="H362" s="49">
        <f>F362/G362</f>
        <v/>
      </c>
      <c r="I362" s="49">
        <f>IF(H362&gt;=E362,"Yes","No")</f>
        <v/>
      </c>
      <c r="J362" s="49" t="inlineStr">
        <is>
          <t>Below target - investigate root cause and add to next month's action plan</t>
        </is>
      </c>
    </row>
    <row r="363">
      <c r="A363" s="90" t="n">
        <v>46266</v>
      </c>
      <c r="B363" s="49" t="inlineStr">
        <is>
          <t>Purify Me</t>
        </is>
      </c>
      <c r="C363" s="49" t="inlineStr">
        <is>
          <t>Freight DIFOT</t>
        </is>
      </c>
      <c r="E363" s="49" t="n">
        <v>0.95</v>
      </c>
      <c r="F363" s="49" t="n">
        <v>46</v>
      </c>
      <c r="G363" s="49" t="n">
        <v>48</v>
      </c>
      <c r="H363" s="49">
        <f>F363/G363</f>
        <v/>
      </c>
      <c r="I363" s="49">
        <f>IF(H363&gt;=E363,"Yes","No")</f>
        <v/>
      </c>
    </row>
    <row r="364">
      <c r="A364" s="90" t="n">
        <v>46266</v>
      </c>
      <c r="B364" s="49" t="inlineStr">
        <is>
          <t>Salt Shark</t>
        </is>
      </c>
      <c r="C364" s="49" t="inlineStr">
        <is>
          <t>Freight DIFOT</t>
        </is>
      </c>
      <c r="E364" s="49" t="n">
        <v>0.95</v>
      </c>
      <c r="F364" s="49" t="n">
        <v>38</v>
      </c>
      <c r="G364" s="49" t="n">
        <v>39</v>
      </c>
      <c r="H364" s="49">
        <f>F364/G364</f>
        <v/>
      </c>
      <c r="I364" s="49">
        <f>IF(H364&gt;=E364,"Yes","No")</f>
        <v/>
      </c>
    </row>
    <row r="365">
      <c r="A365" s="90" t="n">
        <v>46266</v>
      </c>
      <c r="B365" s="49" t="inlineStr">
        <is>
          <t>Simply Clean</t>
        </is>
      </c>
      <c r="C365" s="49" t="inlineStr">
        <is>
          <t>Freight DIFOT</t>
        </is>
      </c>
      <c r="E365" s="49" t="n">
        <v>0.95</v>
      </c>
      <c r="F365" s="49" t="n">
        <v>81</v>
      </c>
      <c r="G365" s="49" t="n">
        <v>88</v>
      </c>
      <c r="H365" s="49">
        <f>F365/G365</f>
        <v/>
      </c>
      <c r="I365" s="49">
        <f>IF(H365&gt;=E365,"Yes","No")</f>
        <v/>
      </c>
      <c r="J365" s="49" t="inlineStr">
        <is>
          <t>Below target - investigate root cause and add to next month's action plan</t>
        </is>
      </c>
    </row>
    <row r="366">
      <c r="A366" s="90" t="n">
        <v>46266</v>
      </c>
      <c r="B366" s="49" t="inlineStr">
        <is>
          <t>Stryx</t>
        </is>
      </c>
      <c r="C366" s="49" t="inlineStr">
        <is>
          <t>Freight DIFOT</t>
        </is>
      </c>
      <c r="E366" s="49" t="n">
        <v>0.95</v>
      </c>
      <c r="F366" s="49" t="n">
        <v>20</v>
      </c>
      <c r="G366" s="49" t="n">
        <v>20</v>
      </c>
      <c r="H366" s="49">
        <f>F366/G366</f>
        <v/>
      </c>
      <c r="I366" s="49">
        <f>IF(H366&gt;=E366,"Yes","No")</f>
        <v/>
      </c>
    </row>
    <row r="367">
      <c r="A367" s="90" t="n">
        <v>46266</v>
      </c>
      <c r="B367" s="49" t="inlineStr">
        <is>
          <t>Vixxen</t>
        </is>
      </c>
      <c r="C367" s="49" t="inlineStr">
        <is>
          <t>Freight DIFOT</t>
        </is>
      </c>
      <c r="E367" s="49" t="n">
        <v>0.95</v>
      </c>
      <c r="F367" s="49" t="n">
        <v>162</v>
      </c>
      <c r="G367" s="49" t="n">
        <v>172</v>
      </c>
      <c r="H367" s="49">
        <f>F367/G367</f>
        <v/>
      </c>
      <c r="I367" s="49">
        <f>IF(H367&gt;=E367,"Yes","No")</f>
        <v/>
      </c>
      <c r="J367" s="49"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46295</v>
      </c>
      <c r="B112" s="49" t="inlineStr">
        <is>
          <t>Oricom</t>
        </is>
      </c>
      <c r="C112" s="49" t="inlineStr">
        <is>
          <t>HL085007</t>
        </is>
      </c>
      <c r="D112" s="49" t="inlineStr">
        <is>
          <t>2026-09</t>
        </is>
      </c>
      <c r="E112" s="49" t="inlineStr">
        <is>
          <t>Freight DIFOT</t>
        </is>
      </c>
      <c r="F112" s="49" t="inlineStr">
        <is>
          <t>Count as met</t>
        </is>
      </c>
      <c r="G112" s="49" t="inlineStr">
        <is>
          <t>DC recipient exception - pre-arranged booking, excluded from avg delivery days</t>
        </is>
      </c>
    </row>
    <row r="113">
      <c r="A113" s="90" t="n">
        <v>46295</v>
      </c>
      <c r="B113" s="49" t="inlineStr">
        <is>
          <t>Oricom</t>
        </is>
      </c>
      <c r="C113" s="49" t="inlineStr">
        <is>
          <t>4522201808</t>
        </is>
      </c>
      <c r="D113" s="49" t="inlineStr">
        <is>
          <t>2026-09</t>
        </is>
      </c>
      <c r="E113" s="49" t="inlineStr">
        <is>
          <t>Freight DIFOT</t>
        </is>
      </c>
      <c r="F113" s="49" t="inlineStr">
        <is>
          <t>Count as met</t>
        </is>
      </c>
      <c r="G113" s="49" t="inlineStr">
        <is>
          <t>DC recipient exception - pre-arranged booking, excluded from avg delivery days</t>
        </is>
      </c>
    </row>
    <row r="114" ht="15" customHeight="1" s="50">
      <c r="A114" s="90" t="n">
        <v>46295</v>
      </c>
      <c r="B114" s="49" t="inlineStr">
        <is>
          <t>Oricom</t>
        </is>
      </c>
      <c r="C114" s="49" t="inlineStr">
        <is>
          <t>S 122 127866</t>
        </is>
      </c>
      <c r="D114" s="49" t="inlineStr">
        <is>
          <t>2026-09</t>
        </is>
      </c>
      <c r="E114" s="49" t="inlineStr">
        <is>
          <t>Freight DIFOT</t>
        </is>
      </c>
      <c r="F114" s="49" t="inlineStr">
        <is>
          <t>Count as met</t>
        </is>
      </c>
      <c r="G114" s="49" t="inlineStr">
        <is>
          <t>DC recipient exception - pre-arranged booking, excluded from avg delivery days</t>
        </is>
      </c>
    </row>
    <row r="115" ht="15" customHeight="1" s="50">
      <c r="A115" s="90" t="n">
        <v>46295</v>
      </c>
      <c r="B115" s="49" t="inlineStr">
        <is>
          <t>Oricom</t>
        </is>
      </c>
      <c r="C115" s="49" t="inlineStr">
        <is>
          <t>4522172931</t>
        </is>
      </c>
      <c r="D115" s="49" t="inlineStr">
        <is>
          <t>2026-09</t>
        </is>
      </c>
      <c r="E115" s="49" t="inlineStr">
        <is>
          <t>Freight DIFOT</t>
        </is>
      </c>
      <c r="F115" s="49" t="inlineStr">
        <is>
          <t>Count as met</t>
        </is>
      </c>
      <c r="G115" s="49" t="inlineStr">
        <is>
          <t>DC recipient exception - pre-arranged booking, excluded from avg delivery days</t>
        </is>
      </c>
    </row>
    <row r="116" ht="15" customHeight="1" s="50">
      <c r="A116" s="90" t="n">
        <v>46295</v>
      </c>
      <c r="B116" s="49" t="inlineStr">
        <is>
          <t>Oricom</t>
        </is>
      </c>
      <c r="C116" s="49" t="inlineStr">
        <is>
          <t>4522133734</t>
        </is>
      </c>
      <c r="D116" s="49" t="inlineStr">
        <is>
          <t>2026-09</t>
        </is>
      </c>
      <c r="E116" s="49" t="inlineStr">
        <is>
          <t>Freight DIFOT</t>
        </is>
      </c>
      <c r="F116" s="49" t="inlineStr">
        <is>
          <t>Count as met</t>
        </is>
      </c>
      <c r="G116" s="49" t="inlineStr">
        <is>
          <t>DC recipient exception - pre-arranged booking, excluded from avg delivery days</t>
        </is>
      </c>
    </row>
    <row r="117" ht="15" customHeight="1" s="50">
      <c r="A117" s="90" t="n">
        <v>46295</v>
      </c>
      <c r="B117" s="49" t="inlineStr">
        <is>
          <t>Oricom</t>
        </is>
      </c>
      <c r="C117" s="49" t="inlineStr">
        <is>
          <t>4522087338</t>
        </is>
      </c>
      <c r="D117" s="49" t="inlineStr">
        <is>
          <t>2026-09</t>
        </is>
      </c>
      <c r="E117" s="49" t="inlineStr">
        <is>
          <t>Freight DIFOT</t>
        </is>
      </c>
      <c r="F117" s="49" t="inlineStr">
        <is>
          <t>Count as met</t>
        </is>
      </c>
      <c r="G117" s="49" t="inlineStr">
        <is>
          <t>DC recipient exception - pre-arranged booking, excluded from avg delivery days</t>
        </is>
      </c>
    </row>
    <row r="118" ht="15" customHeight="1" s="50">
      <c r="A118" s="90" t="n">
        <v>46295</v>
      </c>
      <c r="B118" s="49" t="inlineStr">
        <is>
          <t>Oricom</t>
        </is>
      </c>
      <c r="C118" s="49" t="inlineStr">
        <is>
          <t>4707052687</t>
        </is>
      </c>
      <c r="D118" s="49" t="inlineStr">
        <is>
          <t>2026-09</t>
        </is>
      </c>
      <c r="E118" s="49" t="inlineStr">
        <is>
          <t>Freight DIFOT</t>
        </is>
      </c>
      <c r="F118" s="49" t="inlineStr">
        <is>
          <t>Count as met</t>
        </is>
      </c>
      <c r="G118" s="49" t="inlineStr">
        <is>
          <t>DC recipient exception - pre-arranged booking, excluded from avg delivery days</t>
        </is>
      </c>
    </row>
    <row r="119" ht="15" customHeight="1" s="50">
      <c r="A119" s="84" t="inlineStr">
        <is>
          <t>Action must be either "Exclude from calculation" or "Count as met". KPI should match the KPI name exactly (e.g. "Order Cut Off"). Order Reference must match the customer's order reference number.</t>
        </is>
      </c>
    </row>
    <row r="120" ht="15" customHeight="1" s="50"/>
    <row r="121">
      <c r="A121" s="81" t="inlineStr">
        <is>
          <t>Order Content-Based Overrides</t>
        </is>
      </c>
    </row>
    <row r="122">
      <c r="A122" s="82" t="inlineStr">
        <is>
          <t>Customer</t>
        </is>
      </c>
    </row>
    <row r="123">
      <c r="A123" s="49" t="inlineStr">
        <is>
          <t>Vixxen</t>
        </is>
      </c>
      <c r="B123" s="49" t="inlineStr">
        <is>
          <t>Delivery Company Name</t>
        </is>
      </c>
      <c r="C123" s="49" t="inlineStr">
        <is>
          <t>farmers</t>
        </is>
      </c>
      <c r="D123" s="49" t="inlineStr">
        <is>
          <t>Next Tuesday (17:00)</t>
        </is>
      </c>
    </row>
    <row r="124">
      <c r="A124" s="49" t="inlineStr">
        <is>
          <t>Simply Clean</t>
        </is>
      </c>
      <c r="B124" s="49" t="inlineStr">
        <is>
          <t>Delivery Company Name</t>
        </is>
      </c>
      <c r="C124" s="49" t="inlineStr">
        <is>
          <t>briscoes</t>
        </is>
      </c>
      <c r="D124" s="49" t="inlineStr">
        <is>
          <t>Next Tuesday (17:00)</t>
        </is>
      </c>
    </row>
    <row r="125">
      <c r="A125" s="49" t="inlineStr">
        <is>
          <t>Vixxen</t>
        </is>
      </c>
      <c r="B125" s="49" t="inlineStr">
        <is>
          <t>Delivery Company Name</t>
        </is>
      </c>
      <c r="C125" s="49" t="inlineStr">
        <is>
          <t>farmers</t>
        </is>
      </c>
      <c r="D125" s="49" t="inlineStr">
        <is>
          <t>Next Monday (20:00)</t>
        </is>
      </c>
      <c r="E125" s="83" t="n">
        <v>46251</v>
      </c>
      <c r="F125" s="83" t="n">
        <v>46254</v>
      </c>
    </row>
    <row r="126" ht="126.85" customHeight="1" s="50">
      <c r="A126" s="49" t="inlineStr">
        <is>
          <t>Gym Equip</t>
        </is>
      </c>
      <c r="B126" s="49" t="inlineStr">
        <is>
          <t>All Orders</t>
        </is>
      </c>
      <c r="C126" s="49" t="inlineStr">
        <is>
          <t>all</t>
        </is>
      </c>
      <c r="D126" s="49" t="inlineStr">
        <is>
          <t>Fixed (2026-09-02 20:00)</t>
        </is>
      </c>
      <c r="E126" s="83" t="n"/>
      <c r="F126" s="83" t="n">
        <v>46266</v>
      </c>
    </row>
    <row r="127">
      <c r="A127" s="49" t="inlineStr">
        <is>
          <t>Simply Clean</t>
        </is>
      </c>
      <c r="B127" s="49" t="inlineStr">
        <is>
          <t>Delivery Company Name</t>
        </is>
      </c>
      <c r="C127" s="49" t="inlineStr">
        <is>
          <t>briscoes group</t>
        </is>
      </c>
      <c r="D127" s="49" t="inlineStr">
        <is>
          <t>Fixed (2026-09-18 20:00)</t>
        </is>
      </c>
      <c r="E127" s="83" t="n">
        <v>46280</v>
      </c>
      <c r="F127" s="83" t="n">
        <v>46280</v>
      </c>
    </row>
    <row r="129" ht="15" customHeight="1" s="50"/>
    <row r="130" ht="15" customHeight="1" s="50"/>
    <row r="131" ht="23.85" customHeight="1" s="50"/>
    <row r="132" ht="15" customHeight="1" s="50"/>
    <row r="133" ht="23.85" customHeight="1" s="50">
      <c r="A133"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4" ht="23.85" customHeight="1" s="50"/>
    <row r="136" ht="99.95" customHeight="1" s="50">
      <c r="A136" s="85" t="inlineStr">
        <is>
          <t>Table 4: DIFOT Delivery Recipient Exceptions</t>
        </is>
      </c>
    </row>
    <row r="137">
      <c r="A137" s="86" t="inlineStr">
        <is>
          <t>Match Field</t>
        </is>
      </c>
      <c r="F137" s="86" t="inlineStr">
        <is>
          <t>Attribute To</t>
        </is>
      </c>
      <c r="G137" s="86" t="inlineStr">
        <is>
          <t>Reason</t>
        </is>
      </c>
    </row>
    <row r="138">
      <c r="A138" s="49" t="inlineStr">
        <is>
          <t>ShipTo</t>
        </is>
      </c>
      <c r="B138" s="49" t="inlineStr">
        <is>
          <t>supercheap</t>
        </is>
      </c>
      <c r="C138" s="49" t="inlineStr">
        <is>
          <t>Count as met</t>
        </is>
      </c>
      <c r="F138" s="49" t="inlineStr">
        <is>
          <t>Oricom</t>
        </is>
      </c>
      <c r="G138" s="69" t="inlineStr">
        <is>
          <t>Supercheap Auto/Retail DC orders use separate pre-arranged bookings, not standard carrier tracking</t>
        </is>
      </c>
    </row>
    <row r="139" ht="15" customHeight="1" s="50">
      <c r="A139" s="49" t="inlineStr">
        <is>
          <t>ShipTo</t>
        </is>
      </c>
    </row>
    <row r="140" ht="15" customHeight="1" s="50">
      <c r="A140" s="49" t="inlineStr">
        <is>
          <t>ShipTo</t>
        </is>
      </c>
      <c r="B140" s="49" t="inlineStr">
        <is>
          <t>srg</t>
        </is>
      </c>
      <c r="C140" s="49" t="inlineStr">
        <is>
          <t>Count as met</t>
        </is>
      </c>
      <c r="F140" s="49" t="inlineStr">
        <is>
          <t>Oricom</t>
        </is>
      </c>
      <c r="G140" s="69" t="inlineStr">
        <is>
          <t>SRG (Super Retail Group) DC orders use separate pre-arranged bookings</t>
        </is>
      </c>
    </row>
    <row r="141" ht="68.65000000000001" customHeight="1" s="50">
      <c r="A141" s="49" t="inlineStr">
        <is>
          <t>ShipTo</t>
        </is>
      </c>
      <c r="B141" s="49" t="inlineStr">
        <is>
          <t>repco</t>
        </is>
      </c>
      <c r="C141" s="49" t="inlineStr">
        <is>
          <t>Count as met</t>
        </is>
      </c>
      <c r="F141" s="49" t="inlineStr">
        <is>
          <t>Oricom</t>
        </is>
      </c>
      <c r="G141" s="69" t="inlineStr">
        <is>
          <t>Repco (GPC-owned) orders use separate pre-arranged bookings</t>
        </is>
      </c>
    </row>
    <row r="143" ht="46.25" customHeight="1" s="50">
      <c r="A143"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6" ht="15" customHeight="1" s="50">
      <c r="A146" s="85" t="inlineStr">
        <is>
          <t>Table 5: International Carrier SLAs</t>
        </is>
      </c>
    </row>
    <row r="147" ht="15" customHeight="1" s="50">
      <c r="A147" s="86" t="inlineStr">
        <is>
          <t>Service Code</t>
        </is>
      </c>
      <c r="B147" s="86" t="inlineStr">
        <is>
          <t>Destination</t>
        </is>
      </c>
      <c r="C147" s="86" t="inlineStr">
        <is>
          <t>Business Days</t>
        </is>
      </c>
      <c r="D147" s="86" t="inlineStr">
        <is>
          <t>Source</t>
        </is>
      </c>
      <c r="E147" s="86" t="inlineStr">
        <is>
          <t>Notes</t>
        </is>
      </c>
    </row>
    <row r="148" ht="15" customHeight="1" s="50">
      <c r="A148" s="49" t="inlineStr">
        <is>
          <t>FEDEX_INTERNATIONAL_CONNECT_PLUS</t>
        </is>
      </c>
      <c r="B148" s="49" t="inlineStr">
        <is>
          <t>All international</t>
        </is>
      </c>
      <c r="C148" s="49" t="n">
        <v>3</v>
      </c>
      <c r="D148" s="49" t="inlineStr">
        <is>
          <t>fedex.com/en-nz</t>
        </is>
      </c>
      <c r="E148" s="69" t="inlineStr">
        <is>
          <t>FedEx FICP 'typically 2-3 business days worldwide' - using maximum per FP policy</t>
        </is>
      </c>
    </row>
    <row r="149" ht="15" customHeight="1" s="50"/>
    <row r="150">
      <c r="A150" s="87" t="inlineStr">
        <is>
          <t>Business Days are calculated from pickup date using add_business_days() (Mon-Fri only). To add a new carrier/destination rule, add a row here and update extract_difot.py INTL_CARRIER_DAYS dict. If a range is published (e.g. 3-5 days), always use the maximum.</t>
        </is>
      </c>
    </row>
    <row r="151" ht="15" customHeight="1" s="50"/>
    <row r="153" ht="15" customHeight="1" s="50">
      <c r="A153" s="49" t="inlineStr">
        <is>
          <t>Table 6: Public Holidays</t>
        </is>
      </c>
    </row>
    <row r="154" ht="15" customHeight="1" s="50">
      <c r="A154" s="49" t="inlineStr">
        <is>
          <t>Date</t>
        </is>
      </c>
      <c r="B154" s="49" t="inlineStr">
        <is>
          <t>Notes</t>
        </is>
      </c>
    </row>
    <row r="155" ht="15" customHeight="1" s="50">
      <c r="A155" s="77" t="n">
        <v>46213</v>
      </c>
      <c r="B155" s="49" t="inlineStr">
        <is>
          <t>Wellington Anniversary / regional public holiday — deadlines falling on this day roll to next business day</t>
        </is>
      </c>
    </row>
    <row r="156">
      <c r="A156" s="83" t="n"/>
    </row>
    <row r="157" ht="15" customHeight="1" s="50"/>
    <row r="158">
      <c r="A158" s="49" t="inlineStr">
        <is>
          <t>Add future public holidays here. Deadlines (Order Cut Off, required delivery date) that fall on a listed date will automatically roll forward to the next business day.</t>
        </is>
      </c>
    </row>
    <row r="160">
      <c r="A160" s="49" t="inlineStr">
        <is>
          <t>Table 7: Operational Exceptions (Non-Business Days)</t>
        </is>
      </c>
    </row>
    <row r="161">
      <c r="A161" s="49" t="inlineStr">
        <is>
          <t>Date</t>
        </is>
      </c>
      <c r="B161" s="49" t="inlineStr">
        <is>
          <t>Reason</t>
        </is>
      </c>
    </row>
    <row r="162">
      <c r="A162" s="83" t="n">
        <v>46244</v>
      </c>
      <c r="B162"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4">
      <c r="A164"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row r="12">
      <c r="A12" s="91" t="n">
        <v>46295</v>
      </c>
      <c r="B12" t="inlineStr">
        <is>
          <t>Vixxen</t>
        </is>
      </c>
      <c r="C12" t="inlineStr">
        <is>
          <t>3380</t>
        </is>
      </c>
      <c r="D12" t="n">
        <v>7</v>
      </c>
      <c r="E12" t="inlineStr">
        <is>
          <t>Cross-labelled shipping labels - items picked accurately but shipped to wrong destination due to label mix-up</t>
        </is>
      </c>
    </row>
    <row r="13">
      <c r="A13" s="91" t="n">
        <v>46295</v>
      </c>
      <c r="B13" t="inlineStr">
        <is>
          <t>Vixxen</t>
        </is>
      </c>
      <c r="C13" t="inlineStr">
        <is>
          <t>3378</t>
        </is>
      </c>
      <c r="D13" t="n">
        <v>7</v>
      </c>
      <c r="E13" t="inlineStr">
        <is>
          <t>Cross-labelled shipping labels - items picked accurately but shipped to wrong destination due to label mix-up</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B702797C59B384BA5825BD7F91C8FA6" ma:contentTypeVersion="14" ma:contentTypeDescription="Create a new document." ma:contentTypeScope="" ma:versionID="ed5aae9864b7dcbba9993313f29ed662">
  <xsd:schema xmlns:xsd="http://www.w3.org/2001/XMLSchema" xmlns:xs="http://www.w3.org/2001/XMLSchema" xmlns:p="http://schemas.microsoft.com/office/2006/metadata/properties" xmlns:ns2="7e670929-1bdc-480c-8510-e43a2a862a6e" xmlns:ns3="e1750f8f-64a8-40e8-9e0c-21710cc1a7bb" targetNamespace="http://schemas.microsoft.com/office/2006/metadata/properties" ma:root="true" ma:fieldsID="59a292da2c54c23b9d44e0544df2ef32" ns2:_="" ns3:_="">
    <xsd:import namespace="7e670929-1bdc-480c-8510-e43a2a862a6e"/>
    <xsd:import namespace="e1750f8f-64a8-40e8-9e0c-21710cc1a7b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Access" minOccurs="0"/>
                <xsd:element ref="ns2:Access_x002f_Info"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670929-1bdc-480c-8510-e43a2a862a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25c28e6-01a0-48d2-b828-62504f505dd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Access" ma:index="18" nillable="true" ma:displayName="Access" ma:description="Who gets access&#10;" ma:format="Dropdown" ma:internalName="Access">
      <xsd:simpleType>
        <xsd:restriction base="dms:Text">
          <xsd:maxLength value="255"/>
        </xsd:restriction>
      </xsd:simpleType>
    </xsd:element>
    <xsd:element name="Access_x002f_Info" ma:index="19" nillable="true" ma:displayName="Access/ Info " ma:format="Dropdown" ma:internalName="Access_x002f_Info">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1750f8f-64a8-40e8-9e0c-21710cc1a7b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6fa16d-c7d6-4694-aac4-2bac9e86d8b0}" ma:internalName="TaxCatchAll" ma:showField="CatchAllData" ma:web="e1750f8f-64a8-40e8-9e0c-21710cc1a7b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ccess xmlns="7e670929-1bdc-480c-8510-e43a2a862a6e" xsi:nil="true"/>
    <lcf76f155ced4ddcb4097134ff3c332f xmlns="7e670929-1bdc-480c-8510-e43a2a862a6e">
      <Terms xmlns="http://schemas.microsoft.com/office/infopath/2007/PartnerControls"/>
    </lcf76f155ced4ddcb4097134ff3c332f>
    <TaxCatchAll xmlns="e1750f8f-64a8-40e8-9e0c-21710cc1a7bb" xsi:nil="true"/>
    <Access_x002f_Info xmlns="7e670929-1bdc-480c-8510-e43a2a862a6e" xsi:nil="true"/>
  </documentManagement>
</p:properties>
</file>

<file path=customXml/itemProps1.xml><?xml version="1.0" encoding="utf-8"?>
<ds:datastoreItem xmlns:ds="http://schemas.openxmlformats.org/officeDocument/2006/customXml" ds:itemID="{945D8665-BB08-45C8-840D-18D1435796C1}"/>
</file>

<file path=customXml/itemProps2.xml><?xml version="1.0" encoding="utf-8"?>
<ds:datastoreItem xmlns:ds="http://schemas.openxmlformats.org/officeDocument/2006/customXml" ds:itemID="{4BD9ABE0-6CF6-4F1E-898D-882E0269A924}"/>
</file>

<file path=customXml/itemProps3.xml><?xml version="1.0" encoding="utf-8"?>
<ds:datastoreItem xmlns:ds="http://schemas.openxmlformats.org/officeDocument/2006/customXml" ds:itemID="{03B5FEB4-9DED-4683-B971-45C8DEFC885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2</cp:revision>
  <dcterms:created xsi:type="dcterms:W3CDTF">2026-06-10T23:21:10Z</dcterms:created>
  <dcterms:modified xsi:type="dcterms:W3CDTF">2026-10-02T03:15:33Z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0x010100CB702797C59B384BA5825BD7F91C8FA6</vt:lpwstr>
  </property>
</Properties>
</file>