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Dashboard" sheetId="2" state="visible" r:id="rId2"/>
    <sheet name="Charts" sheetId="3" state="visible" r:id="rId3"/>
    <sheet name="Read Me" sheetId="4" state="visible" r:id="rId4"/>
    <sheet name="KPI Schedule" sheetId="5" state="visible" r:id="rId5"/>
    <sheet name="Customers" sheetId="6" state="visible" r:id="rId6"/>
    <sheet name="KPI_Data" sheetId="7" state="visible" r:id="rId7"/>
    <sheet name="Exceptions" sheetId="8" state="visible" r:id="rId8"/>
    <sheet name="Issue Log" sheetId="9" state="visible" r:id="rId9"/>
    <sheet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m\-yyyy"/>
    <numFmt numFmtId="165" formatCode="0.0%"/>
    <numFmt numFmtId="166" formatCode="0.0%;\-0.0%;General;General"/>
    <numFmt numFmtId="167" formatCode="yyyy\-mm\-dd"/>
    <numFmt numFmtId="168" formatCode="yyyy\-mm\-dd\ h:mm:ss"/>
    <numFmt numFmtId="169" formatCode="yyyy-mm-dd"/>
    <numFmt numFmtId="170" formatCode="yyyy-mm-dd h:mm:ss"/>
  </numFmts>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b val="1"/>
      <sz val="10"/>
    </font>
    <font>
      <name val="Calibri"/>
      <charset val="1"/>
      <family val="0"/>
      <sz val="10"/>
    </font>
    <font>
      <name val="Calibri"/>
      <charset val="1"/>
      <family val="0"/>
      <b val="1"/>
      <color rgb="FFFFFFFF"/>
      <sz val="11"/>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charset val="1"/>
      <family val="0"/>
      <b val="1"/>
      <color rgb="FFFFFFFF"/>
      <sz val="10"/>
    </font>
    <font>
      <name val="Calibri"/>
      <charset val="1"/>
      <family val="0"/>
      <i val="1"/>
      <color rgb="FF595959"/>
      <sz val="9"/>
    </font>
    <font>
      <name val="Calibri"/>
      <charset val="1"/>
      <family val="0"/>
      <i val="1"/>
      <color rgb="FF666666"/>
      <sz val="9"/>
    </font>
  </fonts>
  <fills count="7">
    <fill>
      <patternFill/>
    </fill>
    <fill>
      <patternFill patternType="gray125"/>
    </fill>
    <fill>
      <patternFill patternType="solid">
        <fgColor rgb="FF1F4E79"/>
        <bgColor rgb="FF1F4E78"/>
      </patternFill>
    </fill>
    <fill>
      <patternFill patternType="solid">
        <fgColor rgb="FF2E75B6"/>
        <bgColor rgb="FF4A7EBB"/>
      </patternFill>
    </fill>
    <fill>
      <patternFill patternType="solid">
        <fgColor rgb="FFFFF2CC"/>
        <bgColor rgb="FFF9F9F9"/>
      </patternFill>
    </fill>
    <fill>
      <patternFill patternType="solid">
        <fgColor rgb="FF1F4E78"/>
        <bgColor rgb="FF1F4E79"/>
      </patternFill>
    </fill>
    <fill>
      <patternFill patternType="solid">
        <fgColor rgb="FFD6E4F0"/>
        <bgColor rgb="FFD9D9D9"/>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0" fillId="5" borderId="0" applyAlignment="1" pivotButton="0" quotePrefix="0" xfId="0">
      <alignment horizontal="general" vertical="bottom"/>
    </xf>
    <xf numFmtId="167"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18" fillId="0" borderId="0" applyAlignment="1" pivotButton="0" quotePrefix="0" xfId="0">
      <alignment horizontal="general" vertical="bottom"/>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pivotButton="0" quotePrefix="0" xfId="0"/>
    <xf numFmtId="165" fontId="0" fillId="0" borderId="0"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169" fontId="0" fillId="0" borderId="0" pivotButton="0" quotePrefix="0" xfId="0"/>
    <xf numFmtId="170" fontId="0" fillId="0" borderId="0" pivotButton="0" quotePrefix="0" xfId="0"/>
    <xf numFmtId="4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6EFCE"/>
      <rgbColor rgb="FFFFFF99"/>
      <rgbColor rgb="FF99CCFF"/>
      <rgbColor rgb="FFFF99CC"/>
      <rgbColor rgb="FFCC99FF"/>
      <rgbColor rgb="FFFFC7CE"/>
      <rgbColor rgb="FF2E75B6"/>
      <rgbColor rgb="FF33CCCC"/>
      <rgbColor rgb="FF99CC00"/>
      <rgbColor rgb="FFFFCC00"/>
      <rgbColor rgb="FFFF9900"/>
      <rgbColor rgb="FFFF6600"/>
      <rgbColor rgb="FF666666"/>
      <rgbColor rgb="FF4F81BD"/>
      <rgbColor rgb="FF1F4E78"/>
      <rgbColor rgb="FF4A7EBB"/>
      <rgbColor rgb="FF003300"/>
      <rgbColor rgb="FF333300"/>
      <rgbColor rgb="FF993300"/>
      <rgbColor rgb="FFC0504D"/>
      <rgbColor rgb="FF1F4E79"/>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Dock to Stock - rolling 12 months</a:t>
            </a:r>
          </a:p>
        </rich>
      </tx>
      <overlay val="0"/>
      <spPr>
        <a:noFill/>
        <a:ln w="0">
          <a:noFill/>
          <a:prstDash val="solid"/>
        </a:ln>
      </spPr>
    </title>
    <plotArea>
      <lineChart>
        <grouping val="standard"/>
        <varyColors val="0"/>
        <ser>
          <idx val="0"/>
          <order val="0"/>
          <tx>
            <strRef>
              <f>Dashboard_Calc!B4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Dashboard_Calc!$E$5:$E$16</f>
              <numCache>
                <formatCode>0.0%</formatCode>
                <ptCount val="12"/>
                <pt idx="7">
                  <v>1</v>
                </pt>
                <pt idx="8">
                  <v>1</v>
                </pt>
                <pt idx="9">
                  <v>0.5</v>
                </pt>
                <pt idx="10">
                  <v>0.5</v>
                </pt>
                <pt idx="11">
                  <v>1</v>
                </pt>
              </numCache>
            </numRef>
          </val>
          <smooth val="0"/>
        </ser>
        <hiLowLines>
          <spPr>
            <a:ln w="0">
              <a:noFill/>
              <a:prstDash val="solid"/>
            </a:ln>
          </spPr>
        </hiLowLines>
        <marker val="0"/>
        <axId val="73070127"/>
        <axId val="86355644"/>
      </lineChart>
      <catAx>
        <axId val="73070127"/>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6355644"/>
        <crosses val="autoZero"/>
        <auto val="1"/>
        <lblAlgn val="ctr"/>
        <lblOffset val="100"/>
        <noMultiLvlLbl val="0"/>
      </catAx>
      <valAx>
        <axId val="86355644"/>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3070127"/>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Cycle Count - rolling 12 months</a:t>
            </a:r>
          </a:p>
        </rich>
      </tx>
      <overlay val="0"/>
      <spPr>
        <a:noFill/>
        <a:ln w="0">
          <a:noFill/>
          <a:prstDash val="solid"/>
        </a:ln>
      </spPr>
    </title>
    <plotArea>
      <lineChart>
        <grouping val="standard"/>
        <varyColors val="0"/>
        <ser>
          <idx val="0"/>
          <order val="0"/>
          <tx>
            <strRef>
              <f>Dashboard_Calc!H4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Dashboard_Calc!$K$5:$K$16</f>
              <numCache>
                <formatCode>General</formatCode>
                <ptCount val="12"/>
              </numCache>
            </numRef>
          </val>
          <smooth val="0"/>
        </ser>
        <hiLowLines>
          <spPr>
            <a:ln w="0">
              <a:noFill/>
              <a:prstDash val="solid"/>
            </a:ln>
          </spPr>
        </hiLowLines>
        <marker val="0"/>
        <axId val="57758836"/>
        <axId val="54191743"/>
      </lineChart>
      <catAx>
        <axId val="57758836"/>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4191743"/>
        <crosses val="autoZero"/>
        <auto val="1"/>
        <lblAlgn val="ctr"/>
        <lblOffset val="100"/>
        <noMultiLvlLbl val="0"/>
      </catAx>
      <valAx>
        <axId val="54191743"/>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77588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Cut Off - rolling 12 months</a:t>
            </a:r>
          </a:p>
        </rich>
      </tx>
      <overlay val="0"/>
      <spPr>
        <a:noFill/>
        <a:ln w="0">
          <a:noFill/>
          <a:prstDash val="solid"/>
        </a:ln>
      </spPr>
    </title>
    <plotArea>
      <lineChart>
        <grouping val="standard"/>
        <varyColors val="0"/>
        <ser>
          <idx val="0"/>
          <order val="0"/>
          <tx>
            <strRef>
              <f>Dashboard_Calc!N4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Dashboard_Calc!$Q$5:$Q$16</f>
              <numCache>
                <formatCode>0.0%</formatCode>
                <ptCount val="12"/>
                <pt idx="6">
                  <v>0</v>
                </pt>
                <pt idx="7">
                  <v>1</v>
                </pt>
                <pt idx="8">
                  <v>1</v>
                </pt>
                <pt idx="9">
                  <v>1</v>
                </pt>
                <pt idx="10">
                  <v>0.888888888888889</v>
                </pt>
                <pt idx="11">
                  <v>1</v>
                </pt>
              </numCache>
            </numRef>
          </val>
          <smooth val="0"/>
        </ser>
        <hiLowLines>
          <spPr>
            <a:ln w="0">
              <a:noFill/>
              <a:prstDash val="solid"/>
            </a:ln>
          </spPr>
        </hiLowLines>
        <marker val="0"/>
        <axId val="68748474"/>
        <axId val="35870267"/>
      </lineChart>
      <catAx>
        <axId val="68748474"/>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5870267"/>
        <crosses val="autoZero"/>
        <auto val="1"/>
        <lblAlgn val="ctr"/>
        <lblOffset val="100"/>
        <noMultiLvlLbl val="0"/>
      </catAx>
      <valAx>
        <axId val="35870267"/>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874847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Accuracy by Unit - rolling 12 months</a:t>
            </a:r>
          </a:p>
        </rich>
      </tx>
      <overlay val="0"/>
      <spPr>
        <a:noFill/>
        <a:ln w="0">
          <a:noFill/>
          <a:prstDash val="solid"/>
        </a:ln>
      </spPr>
    </title>
    <plotArea>
      <lineChart>
        <grouping val="standard"/>
        <varyColors val="0"/>
        <ser>
          <idx val="0"/>
          <order val="0"/>
          <tx>
            <strRef>
              <f>Dashboard_Calc!T4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Dashboard_Calc!$W$5:$W$16</f>
              <numCache>
                <formatCode>0.0%</formatCode>
                <ptCount val="12"/>
                <pt idx="10">
                  <v>1</v>
                </pt>
                <pt idx="11">
                  <v>1</v>
                </pt>
              </numCache>
            </numRef>
          </val>
          <smooth val="0"/>
        </ser>
        <hiLowLines>
          <spPr>
            <a:ln w="0">
              <a:noFill/>
              <a:prstDash val="solid"/>
            </a:ln>
          </spPr>
        </hiLowLines>
        <marker val="0"/>
        <axId val="15370343"/>
        <axId val="74618009"/>
      </lineChart>
      <catAx>
        <axId val="1537034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4618009"/>
        <crosses val="autoZero"/>
        <auto val="1"/>
        <lblAlgn val="ctr"/>
        <lblOffset val="100"/>
        <noMultiLvlLbl val="0"/>
      </catAx>
      <valAx>
        <axId val="74618009"/>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1537034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(overall) - rolling 12 months</a:t>
            </a:r>
          </a:p>
        </rich>
      </tx>
      <overlay val="0"/>
      <spPr>
        <a:noFill/>
        <a:ln w="0">
          <a:noFill/>
          <a:prstDash val="solid"/>
        </a:ln>
      </spPr>
    </title>
    <plotArea>
      <lineChart>
        <grouping val="standard"/>
        <varyColors val="0"/>
        <ser>
          <idx val="0"/>
          <order val="0"/>
          <tx>
            <strRef>
              <f>Dashboard_Calc!Z4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Dashboard_Calc!$AC$5:$AC$16</f>
              <numCache>
                <formatCode>0.0%</formatCode>
                <ptCount val="12"/>
                <pt idx="7">
                  <v>0.375</v>
                </pt>
                <pt idx="9">
                  <v>1</v>
                </pt>
                <pt idx="10">
                  <v>1</v>
                </pt>
              </numCache>
            </numRef>
          </val>
          <smooth val="0"/>
        </ser>
        <hiLowLines>
          <spPr>
            <a:ln w="0">
              <a:noFill/>
              <a:prstDash val="solid"/>
            </a:ln>
          </spPr>
        </hiLowLines>
        <marker val="0"/>
        <axId val="80270313"/>
        <axId val="94837245"/>
      </lineChart>
      <catAx>
        <axId val="8027031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94837245"/>
        <crosses val="autoZero"/>
        <auto val="1"/>
        <lblAlgn val="ctr"/>
        <lblOffset val="100"/>
        <noMultiLvlLbl val="0"/>
      </catAx>
      <valAx>
        <axId val="94837245"/>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027031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by Carrier - latest month</a:t>
            </a:r>
          </a:p>
        </rich>
      </tx>
      <overlay val="0"/>
      <spPr>
        <a:noFill/>
        <a:ln w="0">
          <a:noFill/>
          <a:prstDash val="solid"/>
        </a:ln>
      </spPr>
    </title>
    <plotArea>
      <barChart>
        <barDir val="col"/>
        <grouping val="clustered"/>
        <varyColors val="0"/>
        <ser>
          <idx val="0"/>
          <order val="0"/>
          <tx>
            <strRef>
              <f>Dashboard_Calc!B19</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31169036"/>
        <axId val="27068660"/>
      </barChart>
      <catAx>
        <axId val="31169036"/>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7068660"/>
        <crosses val="autoZero"/>
        <auto val="1"/>
        <lblAlgn val="ctr"/>
        <lblOffset val="100"/>
        <noMultiLvlLbl val="0"/>
      </catAx>
      <valAx>
        <axId val="27068660"/>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11690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Stock Accuracy by Year</a:t>
            </a:r>
          </a:p>
        </rich>
      </tx>
      <overlay val="0"/>
      <spPr>
        <a:noFill/>
        <a:ln w="0">
          <a:noFill/>
          <a:prstDash val="solid"/>
        </a:ln>
      </spPr>
    </title>
    <plotArea>
      <barChart>
        <barDir val="col"/>
        <grouping val="clustered"/>
        <varyColors val="0"/>
        <ser>
          <idx val="0"/>
          <order val="0"/>
          <tx>
            <strRef>
              <f>Dashboard_Calc!B24</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24196204"/>
        <axId val="61648267"/>
      </barChart>
      <catAx>
        <axId val="24196204"/>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1648267"/>
        <crosses val="autoZero"/>
        <auto val="1"/>
        <lblAlgn val="ctr"/>
        <lblOffset val="100"/>
        <noMultiLvlLbl val="0"/>
      </catAx>
      <valAx>
        <axId val="61648267"/>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419620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6</row>
      <rowOff>0</rowOff>
    </from>
    <to>
      <col>6</col>
      <colOff>195480</colOff>
      <row>21</row>
      <rowOff>20520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9</col>
      <colOff>0</colOff>
      <row>6</row>
      <rowOff>0</rowOff>
    </from>
    <to>
      <col>17</col>
      <colOff>145800</colOff>
      <row>21</row>
      <rowOff>20520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0</col>
      <colOff>0</colOff>
      <row>23</row>
      <rowOff>0</rowOff>
    </from>
    <to>
      <col>6</col>
      <colOff>195480</colOff>
      <row>38</row>
      <rowOff>20520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9</col>
      <colOff>0</colOff>
      <row>23</row>
      <rowOff>0</rowOff>
    </from>
    <to>
      <col>17</col>
      <colOff>145800</colOff>
      <row>38</row>
      <rowOff>20520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0</col>
      <colOff>0</colOff>
      <row>40</row>
      <rowOff>0</rowOff>
    </from>
    <to>
      <col>6</col>
      <colOff>195480</colOff>
      <row>55</row>
      <rowOff>20160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9</col>
      <colOff>0</colOff>
      <row>40</row>
      <rowOff>0</rowOff>
    </from>
    <to>
      <col>17</col>
      <colOff>145800</colOff>
      <row>55</row>
      <rowOff>20160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0</col>
      <colOff>0</colOff>
      <row>57</row>
      <rowOff>0</rowOff>
    </from>
    <to>
      <col>6</col>
      <colOff>195480</colOff>
      <row>72</row>
      <rowOff>20160</rowOff>
    </to>
    <graphicFrame>
      <nvGraphicFramePr>
        <cNvPr id="7" name="Chart 7"/>
        <cNvGraphicFramePr/>
      </nvGraphicFramePr>
      <xfrm/>
      <a:graphic>
        <a:graphicData uri="http://schemas.openxmlformats.org/drawingml/2006/chart">
          <c:chart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 width="72" customWidth="1" style="49" min="2" max="2"/>
  </cols>
  <sheetData>
    <row r="1" ht="21.75" customHeight="1" s="50">
      <c r="A1" s="51" t="inlineStr">
        <is>
          <t>Fulfilment Plus KPI Dashboard — Instructions &amp; Reference</t>
        </is>
      </c>
    </row>
    <row r="2" ht="15" customHeight="1" s="50">
      <c r="A2" s="52" t="inlineStr">
        <is>
          <t>Last updated</t>
        </is>
      </c>
      <c r="B2" s="53" t="inlineStr">
        <is>
          <t>June 2026  |  Questions? Contact mike@fulfilmentplus.co.nz</t>
        </is>
      </c>
    </row>
    <row r="3" ht="6" customHeight="1" s="50"/>
    <row r="4" ht="18" customHeight="1" s="50">
      <c r="A4" s="54" t="inlineStr">
        <is>
          <t>1. System Overview</t>
        </is>
      </c>
    </row>
    <row r="5" ht="30" customHeight="1" s="50">
      <c r="A5" s="52" t="inlineStr">
        <is>
          <t>What this workbook does</t>
        </is>
      </c>
      <c r="B5" s="53" t="inlineStr">
        <is>
          <t>Accumulates monthly KPI data for all Fulfilment Plus customers across 6 KPIs. Two HTML dashboards (customer_dashboard.html, business_dashboard.html) are generated from this file and can be opened in any browser or shared via OneDrive.</t>
        </is>
      </c>
    </row>
    <row r="6" ht="20.85" customHeight="1" s="50">
      <c r="A6" s="52" t="inlineStr">
        <is>
          <t>Where files live</t>
        </is>
      </c>
      <c r="B6" s="53" t="inlineStr">
        <is>
          <t>All scripts and this workbook live in:
C:\Users\MikeAppleton\Claude\Projects\Fulfilment Plus KPIs\</t>
        </is>
      </c>
    </row>
    <row r="7" ht="72" customHeight="1" s="50">
      <c r="A7" s="52" t="inlineStr">
        <is>
          <t>The 6 KPIs</t>
        </is>
      </c>
      <c r="B7" s="53"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50"/>
    <row r="9" ht="18" customHeight="1" s="50">
      <c r="A9" s="54" t="inlineStr">
        <is>
          <t>2. Monthly Workflow (run on the 1st–5th of each month)</t>
        </is>
      </c>
    </row>
    <row r="10" ht="60" customHeight="1" s="50">
      <c r="A10" s="52" t="inlineStr">
        <is>
          <t>Step 1 — Extract KPIs from CartonCloud</t>
        </is>
      </c>
      <c r="B10" s="53" t="inlineStr">
        <is>
          <t>Run in terminal (in the project folder):
  python extract_kpi_data.py YYYY-MM
Replace YYYY-MM with the prior month, e.g. 2026-06
This pulls Dock to Stock and Order Cut Off for all customers and appends rows to KPI_Data.</t>
        </is>
      </c>
    </row>
    <row r="11" ht="72" customHeight="1" s="50">
      <c r="A11" s="52" t="inlineStr">
        <is>
          <t>Step 2 — Extract DIFOT from Starshipit</t>
        </is>
      </c>
      <c r="B11" s="53"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39.75" customHeight="1" s="50">
      <c r="A12" s="52" t="inlineStr">
        <is>
          <t>Step 3 — Add manual KPIs</t>
        </is>
      </c>
      <c r="B12" s="53" t="inlineStr">
        <is>
          <t>For Stock Accuracy, Cycle Count, Order Accuracy: add rows directly to the KPI_Data tab.
Columns: Month | Customer | KPI | Carrier (blank) | Target | Num | Den
Columns H, I, J use formulas — copy down from an existing row.</t>
        </is>
      </c>
    </row>
    <row r="13" ht="20.85" customHeight="1" s="50">
      <c r="A13" s="52" t="inlineStr">
        <is>
          <t>Step 4 — Regenerate dashboards</t>
        </is>
      </c>
      <c r="B13" s="53" t="inlineStr">
        <is>
          <t>Run:  python generate_dashboards.py
This rewrites customer_dashboard.html and business_dashboard.html.</t>
        </is>
      </c>
    </row>
    <row r="14" ht="6" customHeight="1" s="50"/>
    <row r="15" ht="18" customHeight="1" s="50">
      <c r="A15" s="54" t="inlineStr">
        <is>
          <t>3. Scheduled (Automatic) Tasks</t>
        </is>
      </c>
    </row>
    <row r="16" ht="39.75" customHeight="1" s="50">
      <c r="A16" s="52" t="inlineStr">
        <is>
          <t>mtd-dashboard-refresh</t>
        </is>
      </c>
      <c r="B16" s="53" t="inlineStr">
        <is>
          <t>Runs daily at 7:00 AM. Executes mtd_kpis.py (fetches this month's CartonCloud orders and computes month-to-date Dock to Stock and Order Cut Off) then regenerates both dashboards. MTD badges appear on the dashboards under each KPI card.</t>
        </is>
      </c>
    </row>
    <row r="17" ht="39.75" customHeight="1" s="50">
      <c r="A17" s="52" t="inlineStr">
        <is>
          <t>awaiting-stock-snapshot</t>
        </is>
      </c>
      <c r="B17" s="53" t="inlineStr">
        <is>
          <t>Runs daily at 6:10 PM. Records which CartonCloud outbound orders are in AWAITING_STOCK status and when they transition off (stock becomes available). Used in future to adjust the Order Cut Off clock for orders that were held waiting on stock.</t>
        </is>
      </c>
    </row>
    <row r="18" ht="39.75" customHeight="1" s="50">
      <c r="A18" s="52" t="inlineStr">
        <is>
          <t>monthly-kpi-extraction</t>
        </is>
      </c>
      <c r="B18" s="53" t="inlineStr">
        <is>
          <t>Runs on the 5th of each month at 8:00 AM. Automatically runs extract_kpi_data.py for the prior month. You still need to manually run extract_difot.py and add any manual KPIs.</t>
        </is>
      </c>
    </row>
    <row r="19" ht="6" customHeight="1" s="50"/>
    <row r="20" ht="18" customHeight="1" s="50">
      <c r="A20" s="54" t="inlineStr">
        <is>
          <t>4. KPI Calculation Rules</t>
        </is>
      </c>
    </row>
    <row r="21" ht="30" customHeight="1" s="50">
      <c r="A21" s="52" t="inlineStr">
        <is>
          <t>Dock to Stock</t>
        </is>
      </c>
      <c r="B21" s="53" t="inlineStr">
        <is>
          <t>Inbound orders verified within 48 hours of arrivalDate. Orders still within their 48-hr window (MTD only) are excluded from the denominator.</t>
        </is>
      </c>
    </row>
    <row r="22" ht="39.75" customHeight="1" s="50">
      <c r="A22" s="52" t="inlineStr">
        <is>
          <t>Order Cut Off — standard rule</t>
        </is>
      </c>
      <c r="B22" s="53" t="inlineStr">
        <is>
          <t>Orders received before 2:00 PM NZ time on a weekday must dispatch same day.
Orders received after 2:00 PM or on a weekend must dispatch by 2:00 PM next business day.</t>
        </is>
      </c>
    </row>
    <row r="23" ht="49.5" customHeight="1" s="50">
      <c r="A23" s="52" t="inlineStr">
        <is>
          <t>Order Cut Off — requiredDate rule</t>
        </is>
      </c>
      <c r="B23" s="53" t="inlineStr">
        <is>
          <t>If an order has a requiredDate set, an alternative deadline is calculated as 2 business days before requiredDate at 2:00 PM NZ. Final deadline = max(standard, requiredDate-based). This only ever makes the deadline MORE lenient, never stricter.</t>
        </is>
      </c>
    </row>
    <row r="24" ht="49.5" customHeight="1" s="50">
      <c r="A24" s="52" t="inlineStr">
        <is>
          <t>Order Cut Off — Exceptions tab</t>
        </is>
      </c>
      <c r="B24" s="53"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50">
      <c r="A25" s="52" t="inlineStr">
        <is>
          <t>Freight DIFOT</t>
        </is>
      </c>
      <c r="B25" s="53"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50"/>
    <row r="27" ht="18" customHeight="1" s="50">
      <c r="A27" s="54" t="inlineStr">
        <is>
          <t>5. How to Add Exceptions</t>
        </is>
      </c>
    </row>
    <row r="28" ht="60" customHeight="1" s="50">
      <c r="A28" s="52" t="inlineStr">
        <is>
          <t>Customer Cutoff Override</t>
        </is>
      </c>
      <c r="B28" s="53"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49.5" customHeight="1" s="50">
      <c r="A29" s="52" t="inlineStr">
        <is>
          <t>Order-Level Exception</t>
        </is>
      </c>
      <c r="B29" s="53" t="inlineStr">
        <is>
          <t>Exceptions tab → Table 2 'Order-Level Exceptions'
Add a row: Date Logged | Customer | Order Reference | Month (YYYY-MM) | KPI | Action | Reason
Action options: 'Exclude from calculation' or 'Count as met'</t>
        </is>
      </c>
    </row>
    <row r="30" ht="72" customHeight="1" s="50">
      <c r="A30" s="52" t="inlineStr">
        <is>
          <t>Content-Based Override</t>
        </is>
      </c>
      <c r="B30" s="53"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50"/>
    <row r="32" ht="18" customHeight="1" s="50">
      <c r="A32" s="54" t="inlineStr">
        <is>
          <t>6. Script Reference</t>
        </is>
      </c>
    </row>
    <row r="33" ht="49.5" customHeight="1" s="50">
      <c r="A33" s="52" t="inlineStr">
        <is>
          <t>extract_kpi_data.py</t>
        </is>
      </c>
      <c r="B33" s="53" t="inlineStr">
        <is>
          <t>Usage: python extract_kpi_data.py YYYY-MM
Pulls Dock to Stock and Order Cut Off from CartonCloud for the given month.
Reads Exceptions tab. Appends rows to KPI_Data. Re-run safe (replaces existing rows for that month).</t>
        </is>
      </c>
    </row>
    <row r="34" ht="49.5" customHeight="1" s="50">
      <c r="A34" s="52" t="inlineStr">
        <is>
          <t>extract_difot.py</t>
        </is>
      </c>
      <c r="B34" s="53"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39.75" customHeight="1" s="50">
      <c r="A35" s="52" t="inlineStr">
        <is>
          <t>generate_dashboards.py</t>
        </is>
      </c>
      <c r="B35" s="53" t="inlineStr">
        <is>
          <t>Usage: python generate_dashboards.py
Reads kpi_dashboard.xlsx and mtd_kpis.json. Writes customer_dashboard.html and business_dashboard.html.</t>
        </is>
      </c>
    </row>
    <row r="36" ht="49.5" customHeight="1" s="50">
      <c r="A36" s="52" t="inlineStr">
        <is>
          <t>mtd_kpis.py</t>
        </is>
      </c>
      <c r="B36" s="53"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39.75" customHeight="1" s="50">
      <c r="A37" s="52" t="inlineStr">
        <is>
          <t>daily_status_snapshot.py</t>
        </is>
      </c>
      <c r="B37" s="53" t="inlineStr">
        <is>
          <t>Usage: python daily_status_snapshot.py  (run automatically by awaiting-stock-snapshot scheduled task)
Logs CartonCloud AWAITING_STOCK orders to awaiting_stock_log.csv and tracks when they transition.</t>
        </is>
      </c>
    </row>
    <row r="38" ht="6" customHeight="1" s="50"/>
    <row r="39" ht="18" customHeight="1" s="50">
      <c r="A39" s="54" t="inlineStr">
        <is>
          <t>7. Credentials &amp; API Access</t>
        </is>
      </c>
    </row>
    <row r="40" ht="72" customHeight="1" s="50">
      <c r="A40" s="52" t="inlineStr">
        <is>
          <t>credentials.env</t>
        </is>
      </c>
      <c r="B40" s="53"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49.5" customHeight="1" s="50">
      <c r="A41" s="52" t="inlineStr">
        <is>
          <t>Known issue — Starshipit API</t>
        </is>
      </c>
      <c r="B41" s="53"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50"/>
    <row r="43" ht="18" customHeight="1" s="50">
      <c r="A43" s="54" t="inlineStr">
        <is>
          <t>8. KPI_Data Tab Structure</t>
        </is>
      </c>
    </row>
    <row r="44" ht="72" customHeight="1" s="50">
      <c r="A44" s="52" t="inlineStr">
        <is>
          <t>Column layout</t>
        </is>
      </c>
      <c r="B44" s="53"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49.5" customHeight="1" s="50">
      <c r="A45" s="52" t="inlineStr">
        <is>
          <t>Adding a manual row</t>
        </is>
      </c>
      <c r="B45" s="53"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49" min="1" max="1"/>
    <col width="10" customWidth="1" style="49" min="2" max="3"/>
    <col width="14" customWidth="1" style="49" min="4" max="5"/>
    <col width="32" customWidth="1" style="49" min="6" max="6"/>
    <col width="9" customWidth="1" style="49" min="7" max="15"/>
  </cols>
  <sheetData>
    <row r="1" ht="21.75" customHeight="1" s="50">
      <c r="A1" s="55" t="inlineStr">
        <is>
          <t>Fulfilment Plus</t>
        </is>
      </c>
    </row>
    <row r="2" ht="15" customHeight="1" s="50">
      <c r="A2" s="56" t="inlineStr">
        <is>
          <t>Monthly Customer KPI Report</t>
        </is>
      </c>
    </row>
    <row r="4" ht="15" customHeight="1" s="50">
      <c r="A4" s="57" t="inlineStr">
        <is>
          <t>Customer:</t>
        </is>
      </c>
      <c r="C4" s="58" t="inlineStr">
        <is>
          <t>Aleger Studio</t>
        </is>
      </c>
    </row>
    <row r="5" ht="15" customHeight="1" s="50">
      <c r="A5" s="57" t="inlineStr">
        <is>
          <t>Report Month:</t>
        </is>
      </c>
      <c r="C5" s="59">
        <f>Dashboard_Calc!B2</f>
        <v/>
      </c>
    </row>
    <row r="7" ht="26.25" customHeight="1" s="50">
      <c r="A7" s="60" t="inlineStr">
        <is>
          <t>KPI</t>
        </is>
      </c>
      <c r="B7" s="60" t="inlineStr">
        <is>
          <t>Target</t>
        </is>
      </c>
      <c r="C7" s="60" t="inlineStr">
        <is>
          <t>Frequency</t>
        </is>
      </c>
      <c r="D7" s="60" t="inlineStr">
        <is>
          <t>Latest Result</t>
        </is>
      </c>
      <c r="E7" s="60" t="inlineStr">
        <is>
          <t>Status</t>
        </is>
      </c>
      <c r="F7" s="60" t="inlineStr">
        <is>
          <t>Rolling 12-Month / Annual Result</t>
        </is>
      </c>
    </row>
    <row r="8" ht="15" customHeight="1" s="50">
      <c r="A8" s="61" t="inlineStr">
        <is>
          <t>Dock to Stock</t>
        </is>
      </c>
      <c r="B8" s="62">
        <f>'KPI Schedule'!B5</f>
        <v/>
      </c>
      <c r="C8" s="63">
        <f>'KPI Schedule'!C5</f>
        <v/>
      </c>
      <c r="D8" s="64">
        <f>IF(Dashboard_Calc!E16="","No data",Dashboard_Calc!E16)</f>
        <v/>
      </c>
      <c r="E8" s="65">
        <f>IF(ISNUMBER(D8),IF(D8&gt;=B8,"On Target","Below Target"),"-")</f>
        <v/>
      </c>
      <c r="F8" s="64">
        <f>IFERROR(SUM(Dashboard_Calc!C5:C16)/SUM(Dashboard_Calc!D5:D16),"No data")</f>
        <v/>
      </c>
    </row>
    <row r="9" ht="15" customHeight="1" s="50">
      <c r="A9" s="61" t="inlineStr">
        <is>
          <t>Stock Accuracy</t>
        </is>
      </c>
      <c r="B9" s="62">
        <f>'KPI Schedule'!B6</f>
        <v/>
      </c>
      <c r="C9" s="63">
        <f>'KPI Schedule'!C6</f>
        <v/>
      </c>
      <c r="D9" s="64">
        <f>IF(Dashboard_Calc!E25="","Pending",Dashboard_Calc!E25)</f>
        <v/>
      </c>
      <c r="E9" s="65">
        <f>IF(ISNUMBER(D9),IF(D9&gt;=B9,"On Target","Below Target"),"-")</f>
        <v/>
      </c>
      <c r="F9" s="65" t="inlineStr">
        <is>
          <t>Annual KPI - see Stock Accuracy by Year table</t>
        </is>
      </c>
    </row>
    <row r="10" ht="15" customHeight="1" s="50">
      <c r="A10" s="61" t="inlineStr">
        <is>
          <t>Cycle Count</t>
        </is>
      </c>
      <c r="B10" s="62">
        <f>'KPI Schedule'!B7</f>
        <v/>
      </c>
      <c r="C10" s="63">
        <f>'KPI Schedule'!C7</f>
        <v/>
      </c>
      <c r="D10" s="64">
        <f>IF(Dashboard_Calc!K16="","No data",Dashboard_Calc!K16)</f>
        <v/>
      </c>
      <c r="E10" s="65">
        <f>IF(ISNUMBER(D10),IF(D10&gt;=B10,"On Target","Below Target"),"-")</f>
        <v/>
      </c>
      <c r="F10" s="64">
        <f>IFERROR(SUM(Dashboard_Calc!I5:I16)/SUM(Dashboard_Calc!J5:J16),"No data")</f>
        <v/>
      </c>
    </row>
    <row r="11" ht="15" customHeight="1" s="50">
      <c r="A11" s="61" t="inlineStr">
        <is>
          <t>Order Cut Off</t>
        </is>
      </c>
      <c r="B11" s="62">
        <f>'KPI Schedule'!B8</f>
        <v/>
      </c>
      <c r="C11" s="63">
        <f>'KPI Schedule'!C8</f>
        <v/>
      </c>
      <c r="D11" s="64">
        <f>IF(Dashboard_Calc!Q16="","No data",Dashboard_Calc!Q16)</f>
        <v/>
      </c>
      <c r="E11" s="65">
        <f>IF(ISNUMBER(D11),IF(D11&gt;=B11,"On Target","Below Target"),"-")</f>
        <v/>
      </c>
      <c r="F11" s="64">
        <f>IFERROR(SUM(Dashboard_Calc!O5:O16)/SUM(Dashboard_Calc!P5:P16),"No data")</f>
        <v/>
      </c>
    </row>
    <row r="12" ht="15" customHeight="1" s="50">
      <c r="A12" s="61" t="inlineStr">
        <is>
          <t>Order Accuracy by Unit</t>
        </is>
      </c>
      <c r="B12" s="62">
        <f>'KPI Schedule'!B9</f>
        <v/>
      </c>
      <c r="C12" s="63">
        <f>'KPI Schedule'!C9</f>
        <v/>
      </c>
      <c r="D12" s="64">
        <f>IF(Dashboard_Calc!W16="","No data",Dashboard_Calc!W16)</f>
        <v/>
      </c>
      <c r="E12" s="65">
        <f>IF(ISNUMBER(D12),IF(D12&gt;=B12,"On Target","Below Target"),"-")</f>
        <v/>
      </c>
      <c r="F12" s="64">
        <f>IFERROR(SUM(Dashboard_Calc!U5:U16)/SUM(Dashboard_Calc!V5:V16),"No data")</f>
        <v/>
      </c>
    </row>
    <row r="13" ht="15" customHeight="1" s="50">
      <c r="A13" s="61" t="inlineStr">
        <is>
          <t>Freight DIFOT</t>
        </is>
      </c>
      <c r="B13" s="62">
        <f>'KPI Schedule'!B10</f>
        <v/>
      </c>
      <c r="C13" s="63">
        <f>'KPI Schedule'!C10</f>
        <v/>
      </c>
      <c r="D13" s="64">
        <f>IF(Dashboard_Calc!AC16="","No data",Dashboard_Calc!AC16)</f>
        <v/>
      </c>
      <c r="E13" s="65">
        <f>IF(ISNUMBER(D13),IF(D13&gt;=B13,"On Target","Below Target"),"-")</f>
        <v/>
      </c>
      <c r="F13" s="64">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49" min="1" max="1"/>
    <col width="18" customWidth="1" style="49" min="2" max="2"/>
  </cols>
  <sheetData>
    <row r="1" ht="21.75" customHeight="1" s="50">
      <c r="A1" s="55" t="inlineStr">
        <is>
          <t>Fulfilment Plus</t>
        </is>
      </c>
    </row>
    <row r="2" ht="15" customHeight="1" s="50">
      <c r="A2" s="56" t="inlineStr">
        <is>
          <t>Rolling 12-Month KPI Trends</t>
        </is>
      </c>
    </row>
    <row r="4" ht="15" customHeight="1" s="50">
      <c r="A4" s="57" t="inlineStr">
        <is>
          <t>Customer:</t>
        </is>
      </c>
      <c r="B4" s="66">
        <f>Dashboard!C4</f>
        <v/>
      </c>
    </row>
    <row r="5" ht="15" customHeight="1" s="50">
      <c r="A5" s="57" t="inlineStr">
        <is>
          <t>Report Month:</t>
        </is>
      </c>
      <c r="B5" s="59">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9" min="1" max="1"/>
    <col width="95" customWidth="1" style="49" min="2" max="2"/>
    <col width="14" customWidth="1" style="49" min="3" max="6"/>
  </cols>
  <sheetData>
    <row r="1" ht="17.25" customHeight="1" s="50">
      <c r="A1" s="67" t="inlineStr">
        <is>
          <t>Fulfilment Plus - Customer KPI Dashboard</t>
        </is>
      </c>
    </row>
    <row r="2" ht="15" customHeight="1" s="50">
      <c r="A2" s="57" t="inlineStr">
        <is>
          <t>Structure of this workbook</t>
        </is>
      </c>
    </row>
    <row r="4" ht="48" customHeight="1" s="50">
      <c r="A4" s="68" t="inlineStr">
        <is>
          <t>KPI Schedule</t>
        </is>
      </c>
      <c r="B4" s="69" t="inlineStr">
        <is>
          <t>Reference tab - the official KPI targets, measures and notes (from the Fulfilment Plus KPI Schedule).</t>
        </is>
      </c>
    </row>
    <row r="5" ht="48" customHeight="1" s="50">
      <c r="A5" s="68" t="inlineStr">
        <is>
          <t>Customers</t>
        </is>
      </c>
      <c r="B5" s="69" t="inlineStr">
        <is>
          <t>List of customer names. Add new customers here - they will automatically appear in the Dashboard dropdown.</t>
        </is>
      </c>
    </row>
    <row r="6" ht="48" customHeight="1" s="50">
      <c r="A6" s="68" t="inlineStr">
        <is>
          <t>KPI_Data</t>
        </is>
      </c>
      <c r="B6" s="69"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50">
      <c r="A7" s="68" t="inlineStr">
        <is>
          <t>Dashboard_Calc</t>
        </is>
      </c>
      <c r="B7" s="69" t="inlineStr">
        <is>
          <t>Hidden helper tab. Contains the formulas that pull the last 12 months of data for the customer selected on the Dashboard. You shouldn't need to edit this.</t>
        </is>
      </c>
    </row>
    <row r="8" ht="48" customHeight="1" s="50">
      <c r="A8" s="68" t="inlineStr">
        <is>
          <t>Dashboard</t>
        </is>
      </c>
      <c r="B8" s="69" t="inlineStr">
        <is>
          <t>The customer-facing view. Pick a customer from the dropdown and the KPI summary table updates automatically.</t>
        </is>
      </c>
    </row>
    <row r="9" ht="48" customHeight="1" s="50">
      <c r="A9" s="68" t="inlineStr">
        <is>
          <t>Charts</t>
        </is>
      </c>
      <c r="B9" s="69" t="inlineStr">
        <is>
          <t>Rolling 12-month trend charts (and DIFOT-by-carrier / Stock Accuracy-by-year charts) for the customer selected on the Dashboard tab.</t>
        </is>
      </c>
    </row>
    <row r="11" ht="15" customHeight="1" s="50">
      <c r="A11" s="57" t="inlineStr">
        <is>
          <t>How to add a new month of data</t>
        </is>
      </c>
    </row>
    <row r="12" ht="30" customHeight="1" s="50">
      <c r="A12" s="69" t="inlineStr">
        <is>
          <t>1. Pull the relevant figures from CartonCloud (Inbound/Outbound Orders, Stock on Hand reports) and Starshipit (Tracking).</t>
        </is>
      </c>
    </row>
    <row r="13" ht="30" customHeight="1" s="50">
      <c r="A13" s="69" t="inlineStr">
        <is>
          <t>2. Add one new row to KPI_Data for each Customer x KPI (and Carrier, for Freight DIFOT) for the new month.</t>
        </is>
      </c>
    </row>
    <row r="14" ht="30" customHeight="1" s="50">
      <c r="A14" s="69" t="inlineStr">
        <is>
          <t>3. Enter the Numerator and Denominator - the Actual % and Met Target columns are formulas and will calculate automatically.</t>
        </is>
      </c>
    </row>
    <row r="15" ht="30" customHeight="1" s="50">
      <c r="A15" s="69" t="inlineStr">
        <is>
          <t>4. The Dashboard will automatically include the new month in the rolling 12-month view (it always shows the latest 12 months in the data).</t>
        </is>
      </c>
    </row>
    <row r="16" ht="30" customHeight="1" s="50">
      <c r="A16" s="69" t="inlineStr">
        <is>
          <t>5. To send a customer their report, select them on the Dashboard and export/print that sheet (or save a PDF copy).</t>
        </is>
      </c>
    </row>
    <row r="18" ht="15" customHeight="1" s="50">
      <c r="A18" s="57" t="inlineStr">
        <is>
          <t>Sample data note</t>
        </is>
      </c>
    </row>
    <row r="19" ht="60" customHeight="1" s="50">
      <c r="A19" s="69"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49" min="1" max="1"/>
    <col width="10" customWidth="1" style="49" min="2" max="2"/>
    <col width="12" customWidth="1" style="49" min="3" max="3"/>
    <col width="32" customWidth="1" style="49" min="4" max="4"/>
    <col width="55" customWidth="1" style="49" min="5" max="5"/>
  </cols>
  <sheetData>
    <row r="1" ht="17.25" customHeight="1" s="50">
      <c r="A1" s="67" t="inlineStr">
        <is>
          <t>Fulfilment Plus KPI Schedule</t>
        </is>
      </c>
    </row>
    <row r="2" ht="15" customHeight="1" s="50">
      <c r="A2" s="70" t="inlineStr">
        <is>
          <t>Source: Fulfilment Plus KPI Schedule 2025</t>
        </is>
      </c>
    </row>
    <row r="4" ht="15" customHeight="1" s="50">
      <c r="A4" s="60" t="inlineStr">
        <is>
          <t>KPI</t>
        </is>
      </c>
      <c r="B4" s="60" t="inlineStr">
        <is>
          <t>Target</t>
        </is>
      </c>
      <c r="C4" s="60" t="inlineStr">
        <is>
          <t>Frequency</t>
        </is>
      </c>
      <c r="D4" s="60" t="inlineStr">
        <is>
          <t>Measure</t>
        </is>
      </c>
      <c r="E4" s="60" t="inlineStr">
        <is>
          <t>Notes</t>
        </is>
      </c>
    </row>
    <row r="5" ht="48" customHeight="1" s="50">
      <c r="A5" s="71" t="inlineStr">
        <is>
          <t>Dock to Stock</t>
        </is>
      </c>
      <c r="B5" s="72" t="n">
        <v>0.95</v>
      </c>
      <c r="C5" s="73" t="inlineStr">
        <is>
          <t>Monthly</t>
        </is>
      </c>
      <c r="D5" s="74" t="inlineStr">
        <is>
          <t>Shipments processed in 48hrs</t>
        </is>
      </c>
      <c r="E5" s="74" t="inlineStr">
        <is>
          <t>Measured Monthly. Max 3 shipments per day. All docs must be available before arrival.</t>
        </is>
      </c>
    </row>
    <row r="6" ht="48" customHeight="1" s="50">
      <c r="A6" s="71" t="inlineStr">
        <is>
          <t>Stock Accuracy</t>
        </is>
      </c>
      <c r="B6" s="72" t="n">
        <v>0.995</v>
      </c>
      <c r="C6" s="73" t="inlineStr">
        <is>
          <t>Annual</t>
        </is>
      </c>
      <c r="D6" s="74" t="inlineStr">
        <is>
          <t>Stock Accuracy as a percentage of throughput</t>
        </is>
      </c>
      <c r="E6" s="74" t="inlineStr">
        <is>
          <t>Measured Annually based on an annual stock take. Warehouse related issues only.</t>
        </is>
      </c>
    </row>
    <row r="7" ht="48" customHeight="1" s="50">
      <c r="A7" s="71" t="inlineStr">
        <is>
          <t>Cycle Count</t>
        </is>
      </c>
      <c r="B7" s="72" t="n">
        <v>0.995</v>
      </c>
      <c r="C7" s="73" t="inlineStr">
        <is>
          <t>Monthly</t>
        </is>
      </c>
      <c r="D7" s="74" t="inlineStr">
        <is>
          <t>Monthly count</t>
        </is>
      </c>
      <c r="E7" s="74" t="inlineStr">
        <is>
          <t>Measured Monthly. Counts are performed through the month.</t>
        </is>
      </c>
    </row>
    <row r="8" ht="48" customHeight="1" s="50">
      <c r="A8" s="71" t="inlineStr">
        <is>
          <t>Order Cut Off</t>
        </is>
      </c>
      <c r="B8" s="72" t="n">
        <v>0.95</v>
      </c>
      <c r="C8" s="73" t="inlineStr">
        <is>
          <t>Monthly</t>
        </is>
      </c>
      <c r="D8" s="74" t="inlineStr">
        <is>
          <t>Orders in by 2pm will be ready for despatch same day</t>
        </is>
      </c>
      <c r="E8" s="74" t="inlineStr">
        <is>
          <t>Measured Monthly based on forecast and a steady order flow.</t>
        </is>
      </c>
    </row>
    <row r="9" ht="48" customHeight="1" s="50">
      <c r="A9" s="71" t="inlineStr">
        <is>
          <t>Order Accuracy by Unit</t>
        </is>
      </c>
      <c r="B9" s="72" t="n">
        <v>0.995</v>
      </c>
      <c r="C9" s="73" t="inlineStr">
        <is>
          <t>Monthly</t>
        </is>
      </c>
      <c r="D9" s="74" t="inlineStr">
        <is>
          <t>Issues vs units despatched</t>
        </is>
      </c>
      <c r="E9" s="74" t="inlineStr">
        <is>
          <t>Measured Monthly. Issues need to be lodged and investigated.</t>
        </is>
      </c>
    </row>
    <row r="10" ht="48" customHeight="1" s="50">
      <c r="A10" s="71" t="inlineStr">
        <is>
          <t>Freight DIFOT</t>
        </is>
      </c>
      <c r="B10" s="72" t="n">
        <v>0.95</v>
      </c>
      <c r="C10" s="73" t="inlineStr">
        <is>
          <t>Monthly</t>
        </is>
      </c>
      <c r="D10" s="74" t="inlineStr">
        <is>
          <t>Consignments delivered on time</t>
        </is>
      </c>
      <c r="E10" s="74"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s>
  <sheetData>
    <row r="1" ht="17.25" customHeight="1" s="50">
      <c r="A1" s="67" t="inlineStr">
        <is>
          <t>Customers</t>
        </is>
      </c>
    </row>
    <row r="3" ht="15" customHeight="1" s="50">
      <c r="A3" s="60" t="inlineStr">
        <is>
          <t>Customer Name</t>
        </is>
      </c>
    </row>
    <row r="4" ht="15" customHeight="1" s="50">
      <c r="A4" s="63" t="inlineStr">
        <is>
          <t>Aleger Studio</t>
        </is>
      </c>
    </row>
    <row r="5" ht="15" customHeight="1" s="50">
      <c r="A5" s="49" t="inlineStr">
        <is>
          <t>Baking Tech</t>
        </is>
      </c>
    </row>
    <row r="6" ht="15" customHeight="1" s="50">
      <c r="A6" s="63" t="inlineStr">
        <is>
          <t>Coromandel Mountains Company Limited</t>
        </is>
      </c>
    </row>
    <row r="7" ht="15" customHeight="1" s="50">
      <c r="A7" s="49" t="inlineStr">
        <is>
          <t>Cotton Soft  - Christchurch</t>
        </is>
      </c>
    </row>
    <row r="8" ht="15" customHeight="1" s="50">
      <c r="A8" s="49" t="inlineStr">
        <is>
          <t>EcoPallets</t>
        </is>
      </c>
    </row>
    <row r="9" ht="15" customHeight="1" s="50">
      <c r="A9" s="63" t="inlineStr">
        <is>
          <t>Flo &amp; Frankie</t>
        </is>
      </c>
    </row>
    <row r="10" ht="15" customHeight="1" s="50">
      <c r="A10" s="49" t="inlineStr">
        <is>
          <t>Geodis</t>
        </is>
      </c>
    </row>
    <row r="11" ht="15" customHeight="1" s="50">
      <c r="A11" s="63" t="inlineStr">
        <is>
          <t>Gym Equip</t>
        </is>
      </c>
    </row>
    <row r="12" ht="15" customHeight="1" s="50">
      <c r="A12" s="63" t="inlineStr">
        <is>
          <t>Interior Images</t>
        </is>
      </c>
    </row>
    <row r="13" ht="15" customHeight="1" s="50">
      <c r="A13" s="63" t="inlineStr">
        <is>
          <t>Jock Freight - SECA</t>
        </is>
      </c>
    </row>
    <row r="14" ht="15" customHeight="1" s="50">
      <c r="A14" s="63" t="inlineStr">
        <is>
          <t>Logwin - Sikla</t>
        </is>
      </c>
    </row>
    <row r="15" ht="15" customHeight="1" s="50">
      <c r="A15" s="63" t="inlineStr">
        <is>
          <t>Made Group NZ</t>
        </is>
      </c>
    </row>
    <row r="16" ht="15" customHeight="1" s="50">
      <c r="A16" s="49" t="inlineStr">
        <is>
          <t>Madigan Freight Services</t>
        </is>
      </c>
    </row>
    <row r="17" ht="15" customHeight="1" s="50">
      <c r="A17" s="63" t="inlineStr">
        <is>
          <t>May Eleven NZ</t>
        </is>
      </c>
    </row>
    <row r="18" ht="15" customHeight="1" s="50">
      <c r="A18" s="49" t="inlineStr">
        <is>
          <t>Method Global</t>
        </is>
      </c>
    </row>
    <row r="19" ht="15" customHeight="1" s="50">
      <c r="A19" s="63" t="inlineStr">
        <is>
          <t>MR Shoes Limited</t>
        </is>
      </c>
    </row>
    <row r="20" ht="15" customHeight="1" s="50">
      <c r="A20" s="49" t="inlineStr">
        <is>
          <t>Oceanbridge</t>
        </is>
      </c>
    </row>
    <row r="21" ht="15" customHeight="1" s="50">
      <c r="A21" s="49" t="inlineStr">
        <is>
          <t>Oricom</t>
        </is>
      </c>
    </row>
    <row r="22" ht="15" customHeight="1" s="50">
      <c r="A22" s="49" t="inlineStr">
        <is>
          <t>Purify Me</t>
        </is>
      </c>
    </row>
    <row r="23" ht="15" customHeight="1" s="50">
      <c r="A23" s="49" t="inlineStr">
        <is>
          <t>Purus / Purple Universe</t>
        </is>
      </c>
    </row>
    <row r="24" ht="15" customHeight="1" s="50">
      <c r="A24" s="49" t="inlineStr">
        <is>
          <t>Salt Shark</t>
        </is>
      </c>
    </row>
    <row r="25" ht="15" customHeight="1" s="50">
      <c r="A25" s="49" t="inlineStr">
        <is>
          <t>Samsung Batteries CP</t>
        </is>
      </c>
    </row>
    <row r="26" ht="15" customHeight="1" s="50">
      <c r="A26" s="49" t="inlineStr">
        <is>
          <t>Simply Clean</t>
        </is>
      </c>
    </row>
    <row r="27" ht="15" customHeight="1" s="50">
      <c r="A27" s="49" t="inlineStr">
        <is>
          <t>Stryx</t>
        </is>
      </c>
    </row>
    <row r="28" ht="15" customHeight="1" s="50">
      <c r="A28" s="49" t="inlineStr">
        <is>
          <t>Tesx</t>
        </is>
      </c>
    </row>
    <row r="29" ht="15" customHeight="1" s="50">
      <c r="A29" s="4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6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49" min="1" max="1"/>
    <col width="18" customWidth="1" style="49" min="2" max="2"/>
    <col width="22" customWidth="1" style="49" min="3" max="3"/>
    <col width="16" customWidth="1" style="49" min="4" max="4"/>
    <col width="10" customWidth="1" style="49" min="5" max="5"/>
    <col width="12" customWidth="1" style="49" min="6" max="6"/>
    <col width="13" customWidth="1" style="49" min="7" max="7"/>
    <col width="11" customWidth="1" style="49" min="8" max="8"/>
    <col width="12" customWidth="1" style="49" min="9" max="9"/>
    <col width="50" customWidth="1" style="49" min="10" max="10"/>
  </cols>
  <sheetData>
    <row r="1" ht="17.25" customHeight="1" s="50">
      <c r="A1" s="67" t="inlineStr">
        <is>
          <t>KPI_Data - master results table (append one row per Customer / Month / KPI / Carrier)</t>
        </is>
      </c>
    </row>
    <row r="3" ht="26.25" customHeight="1" s="50">
      <c r="A3" s="60" t="inlineStr">
        <is>
          <t>Month</t>
        </is>
      </c>
      <c r="B3" s="60" t="inlineStr">
        <is>
          <t>Customer</t>
        </is>
      </c>
      <c r="C3" s="60" t="inlineStr">
        <is>
          <t>KPI</t>
        </is>
      </c>
      <c r="D3" s="60" t="inlineStr">
        <is>
          <t>Carrier</t>
        </is>
      </c>
      <c r="E3" s="60" t="inlineStr">
        <is>
          <t>Target</t>
        </is>
      </c>
      <c r="F3" s="60" t="inlineStr">
        <is>
          <t>Numerator</t>
        </is>
      </c>
      <c r="G3" s="60" t="inlineStr">
        <is>
          <t>Denominator</t>
        </is>
      </c>
      <c r="H3" s="60" t="inlineStr">
        <is>
          <t>Actual %</t>
        </is>
      </c>
      <c r="I3" s="60" t="inlineStr">
        <is>
          <t>Met Target?</t>
        </is>
      </c>
      <c r="J3" s="60" t="inlineStr">
        <is>
          <t>Notes / Action Plan</t>
        </is>
      </c>
    </row>
    <row r="4" ht="15" customHeight="1" s="50">
      <c r="A4" s="75" t="n">
        <v>46143</v>
      </c>
      <c r="B4" s="49" t="inlineStr">
        <is>
          <t>Aleger Studio</t>
        </is>
      </c>
      <c r="C4" s="49" t="inlineStr">
        <is>
          <t>Dock to Stock</t>
        </is>
      </c>
      <c r="E4" s="76" t="n">
        <v>0.95</v>
      </c>
      <c r="F4" s="49" t="n">
        <v>1</v>
      </c>
      <c r="G4" s="49" t="n">
        <v>1</v>
      </c>
      <c r="H4" s="76">
        <f>F88/G88</f>
        <v/>
      </c>
      <c r="I4" s="49">
        <f>IF(H88&gt;=E88,"Yes","No")</f>
        <v/>
      </c>
    </row>
    <row r="5" ht="15" customHeight="1" s="50">
      <c r="A5" s="75" t="n">
        <v>46143</v>
      </c>
      <c r="B5" s="49" t="inlineStr">
        <is>
          <t>Coromandel Mountains Company Limited</t>
        </is>
      </c>
      <c r="C5" s="49" t="inlineStr">
        <is>
          <t>Dock to Stock</t>
        </is>
      </c>
      <c r="E5" s="76" t="n">
        <v>0.95</v>
      </c>
      <c r="F5" s="49" t="n">
        <v>2</v>
      </c>
      <c r="G5" s="49" t="n">
        <v>3</v>
      </c>
      <c r="H5" s="76">
        <f>F89/G89</f>
        <v/>
      </c>
      <c r="I5" s="49">
        <f>IF(H89&gt;=E89,"Yes","No")</f>
        <v/>
      </c>
      <c r="J5" s="49" t="inlineStr">
        <is>
          <t>Below target - investigate root cause and add to next month's action plan</t>
        </is>
      </c>
    </row>
    <row r="6" ht="15" customHeight="1" s="50">
      <c r="A6" s="75" t="n">
        <v>46143</v>
      </c>
      <c r="B6" s="49" t="inlineStr">
        <is>
          <t>Interior Images</t>
        </is>
      </c>
      <c r="C6" s="49" t="inlineStr">
        <is>
          <t>Dock to Stock</t>
        </is>
      </c>
      <c r="E6" s="76" t="n">
        <v>0.95</v>
      </c>
      <c r="F6" s="49" t="n">
        <v>2</v>
      </c>
      <c r="G6" s="49" t="n">
        <v>3</v>
      </c>
      <c r="H6" s="76">
        <f>F90/G90</f>
        <v/>
      </c>
      <c r="I6" s="49">
        <f>IF(H90&gt;=E90,"Yes","No")</f>
        <v/>
      </c>
      <c r="J6" s="49" t="inlineStr">
        <is>
          <t>Below target - investigate root cause and add to next month's action plan</t>
        </is>
      </c>
    </row>
    <row r="7" ht="15" customHeight="1" s="50">
      <c r="A7" s="75" t="n">
        <v>46143</v>
      </c>
      <c r="B7" s="49" t="inlineStr">
        <is>
          <t>Jock Freight - SECA</t>
        </is>
      </c>
      <c r="C7" s="49" t="inlineStr">
        <is>
          <t>Dock to Stock</t>
        </is>
      </c>
      <c r="E7" s="76" t="n">
        <v>0.95</v>
      </c>
      <c r="F7" s="49" t="n">
        <v>3</v>
      </c>
      <c r="G7" s="49" t="n">
        <v>4</v>
      </c>
      <c r="H7" s="76">
        <f>F91/G91</f>
        <v/>
      </c>
      <c r="I7" s="49">
        <f>IF(H91&gt;=E91,"Yes","No")</f>
        <v/>
      </c>
      <c r="J7" s="49" t="inlineStr">
        <is>
          <t>Below target - investigate root cause and add to next month's action plan</t>
        </is>
      </c>
    </row>
    <row r="8" ht="15" customHeight="1" s="50">
      <c r="A8" s="75" t="n">
        <v>46143</v>
      </c>
      <c r="B8" s="49" t="inlineStr">
        <is>
          <t>Logwin - Sikla</t>
        </is>
      </c>
      <c r="C8" s="49" t="inlineStr">
        <is>
          <t>Dock to Stock</t>
        </is>
      </c>
      <c r="E8" s="76" t="n">
        <v>0.95</v>
      </c>
      <c r="F8" s="49" t="n">
        <v>0</v>
      </c>
      <c r="G8" s="49" t="n">
        <v>2</v>
      </c>
      <c r="H8" s="76">
        <f>F92/G92</f>
        <v/>
      </c>
      <c r="I8" s="49">
        <f>IF(H92&gt;=E92,"Yes","No")</f>
        <v/>
      </c>
      <c r="J8" s="49" t="inlineStr">
        <is>
          <t>Below target - investigate root cause and add to next month's action plan</t>
        </is>
      </c>
    </row>
    <row r="9" ht="15" customHeight="1" s="50">
      <c r="A9" s="75" t="n">
        <v>46143</v>
      </c>
      <c r="B9" s="49" t="inlineStr">
        <is>
          <t>Made Group NZ</t>
        </is>
      </c>
      <c r="C9" s="49" t="inlineStr">
        <is>
          <t>Dock to Stock</t>
        </is>
      </c>
      <c r="E9" s="76" t="n">
        <v>0.95</v>
      </c>
      <c r="F9" s="49" t="n">
        <v>0</v>
      </c>
      <c r="G9" s="49" t="n">
        <v>10</v>
      </c>
      <c r="H9" s="76">
        <f>F93/G93</f>
        <v/>
      </c>
      <c r="I9" s="49">
        <f>IF(H93&gt;=E93,"Yes","No")</f>
        <v/>
      </c>
      <c r="J9" s="49" t="inlineStr">
        <is>
          <t>Below target - investigate root cause and add to next month's action plan</t>
        </is>
      </c>
    </row>
    <row r="10" ht="15" customHeight="1" s="50">
      <c r="A10" s="75" t="n">
        <v>46143</v>
      </c>
      <c r="B10" s="49" t="inlineStr">
        <is>
          <t>May Eleven NZ</t>
        </is>
      </c>
      <c r="C10" s="49" t="inlineStr">
        <is>
          <t>Dock to Stock</t>
        </is>
      </c>
      <c r="E10" s="76" t="n">
        <v>0.95</v>
      </c>
      <c r="F10" s="49" t="n">
        <v>1</v>
      </c>
      <c r="G10" s="49" t="n">
        <v>1</v>
      </c>
      <c r="H10" s="76">
        <f>F94/G94</f>
        <v/>
      </c>
      <c r="I10" s="49">
        <f>IF(H94&gt;=E94,"Yes","No")</f>
        <v/>
      </c>
    </row>
    <row r="11" ht="15" customHeight="1" s="50">
      <c r="A11" s="75" t="n">
        <v>46143</v>
      </c>
      <c r="B11" s="49" t="inlineStr">
        <is>
          <t>Oricom</t>
        </is>
      </c>
      <c r="C11" s="49" t="inlineStr">
        <is>
          <t>Dock to Stock</t>
        </is>
      </c>
      <c r="E11" s="76" t="n">
        <v>0.95</v>
      </c>
      <c r="F11" s="49" t="n">
        <v>0</v>
      </c>
      <c r="G11" s="49" t="n">
        <v>1</v>
      </c>
      <c r="H11" s="76">
        <f>F11/G11</f>
        <v/>
      </c>
      <c r="I11" s="49">
        <f>IF(H11&gt;=E11,"Yes","No")</f>
        <v/>
      </c>
      <c r="J11" s="49" t="inlineStr">
        <is>
          <t>Below target - investigate root cause and add to next month's action plan</t>
        </is>
      </c>
    </row>
    <row r="12" ht="15" customHeight="1" s="50">
      <c r="A12" s="75" t="n">
        <v>46143</v>
      </c>
      <c r="B12" s="49" t="inlineStr">
        <is>
          <t>Salt Shark</t>
        </is>
      </c>
      <c r="C12" s="49" t="inlineStr">
        <is>
          <t>Dock to Stock</t>
        </is>
      </c>
      <c r="E12" s="76" t="n">
        <v>0.95</v>
      </c>
      <c r="F12" s="49" t="n">
        <v>5</v>
      </c>
      <c r="G12" s="49" t="n">
        <v>5</v>
      </c>
      <c r="H12" s="76">
        <f>F95/G95</f>
        <v/>
      </c>
      <c r="I12" s="49">
        <f>IF(H95&gt;=E95,"Yes","No")</f>
        <v/>
      </c>
    </row>
    <row r="13" ht="15" customHeight="1" s="50">
      <c r="A13" s="75" t="n">
        <v>46143</v>
      </c>
      <c r="B13" s="49" t="inlineStr">
        <is>
          <t>Stryx</t>
        </is>
      </c>
      <c r="C13" s="49" t="inlineStr">
        <is>
          <t>Dock to Stock</t>
        </is>
      </c>
      <c r="E13" s="76" t="n">
        <v>0.95</v>
      </c>
      <c r="F13" s="49" t="n">
        <v>1</v>
      </c>
      <c r="G13" s="49" t="n">
        <v>1</v>
      </c>
      <c r="H13" s="76">
        <f>F96/G96</f>
        <v/>
      </c>
      <c r="I13" s="49">
        <f>IF(H96&gt;=E96,"Yes","No")</f>
        <v/>
      </c>
    </row>
    <row r="14" ht="15" customHeight="1" s="50">
      <c r="A14" s="75" t="n">
        <v>46143</v>
      </c>
      <c r="B14" s="49" t="inlineStr">
        <is>
          <t>Vixxen</t>
        </is>
      </c>
      <c r="C14" s="49" t="inlineStr">
        <is>
          <t>Dock to Stock</t>
        </is>
      </c>
      <c r="E14" s="76" t="n">
        <v>0.95</v>
      </c>
      <c r="F14" s="49" t="n">
        <v>3</v>
      </c>
      <c r="G14" s="49" t="n">
        <v>4</v>
      </c>
      <c r="H14" s="76">
        <f>F97/G97</f>
        <v/>
      </c>
      <c r="I14" s="49">
        <f>IF(H97&gt;=E97,"Yes","No")</f>
        <v/>
      </c>
      <c r="J14" s="49" t="inlineStr">
        <is>
          <t>Below target - investigate root cause and add to next month's action plan</t>
        </is>
      </c>
    </row>
    <row r="15" ht="15" customHeight="1" s="50">
      <c r="A15" s="75" t="n">
        <v>46143</v>
      </c>
      <c r="B15" s="49" t="inlineStr">
        <is>
          <t>Aleger Studio</t>
        </is>
      </c>
      <c r="C15" s="49" t="inlineStr">
        <is>
          <t>Order Cut Off</t>
        </is>
      </c>
      <c r="E15" s="76" t="n">
        <v>0.95</v>
      </c>
      <c r="F15" s="49" t="n">
        <v>8</v>
      </c>
      <c r="G15" s="49" t="n">
        <v>8</v>
      </c>
      <c r="H15" s="76">
        <f>F98/G98</f>
        <v/>
      </c>
      <c r="I15" s="49">
        <f>IF(H98&gt;=E98,"Yes","No")</f>
        <v/>
      </c>
    </row>
    <row r="16" ht="15" customHeight="1" s="50">
      <c r="A16" s="75" t="n">
        <v>46143</v>
      </c>
      <c r="B16" s="49" t="inlineStr">
        <is>
          <t>Coromandel Mountains Company Limited</t>
        </is>
      </c>
      <c r="C16" s="49" t="inlineStr">
        <is>
          <t>Order Cut Off</t>
        </is>
      </c>
      <c r="E16" s="76" t="n">
        <v>0.95</v>
      </c>
      <c r="F16" s="49" t="n">
        <v>3</v>
      </c>
      <c r="G16" s="49" t="n">
        <v>6</v>
      </c>
      <c r="H16" s="76">
        <f>F99/G99</f>
        <v/>
      </c>
      <c r="I16" s="49">
        <f>IF(H99&gt;=E99,"Yes","No")</f>
        <v/>
      </c>
      <c r="J16" s="49" t="inlineStr">
        <is>
          <t>Below target - investigate root cause and add to next month's action plan</t>
        </is>
      </c>
    </row>
    <row r="17" ht="15" customHeight="1" s="50">
      <c r="A17" s="75" t="n">
        <v>46143</v>
      </c>
      <c r="B17" s="49" t="inlineStr">
        <is>
          <t>Interior Images</t>
        </is>
      </c>
      <c r="C17" s="49" t="inlineStr">
        <is>
          <t>Order Cut Off</t>
        </is>
      </c>
      <c r="E17" s="76" t="n">
        <v>0.95</v>
      </c>
      <c r="F17" s="49" t="n">
        <v>1</v>
      </c>
      <c r="G17" s="49" t="n">
        <v>2</v>
      </c>
      <c r="H17" s="76">
        <f>F100/G100</f>
        <v/>
      </c>
      <c r="I17" s="49">
        <f>IF(H100&gt;=E100,"Yes","No")</f>
        <v/>
      </c>
      <c r="J17" s="49" t="inlineStr">
        <is>
          <t>Below target - investigate root cause and add to next month's action plan</t>
        </is>
      </c>
    </row>
    <row r="18" ht="15" customHeight="1" s="50">
      <c r="A18" s="75" t="n">
        <v>46143</v>
      </c>
      <c r="B18" s="49" t="inlineStr">
        <is>
          <t>Jock Freight - SECA</t>
        </is>
      </c>
      <c r="C18" s="49" t="inlineStr">
        <is>
          <t>Order Cut Off</t>
        </is>
      </c>
      <c r="E18" s="76" t="n">
        <v>0.95</v>
      </c>
      <c r="F18" s="49" t="n">
        <v>5</v>
      </c>
      <c r="G18" s="49" t="n">
        <v>12</v>
      </c>
      <c r="H18" s="76">
        <f>F101/G101</f>
        <v/>
      </c>
      <c r="I18" s="49">
        <f>IF(H101&gt;=E101,"Yes","No")</f>
        <v/>
      </c>
      <c r="J18" s="49" t="inlineStr">
        <is>
          <t>Below target - investigate root cause and add to next month's action plan</t>
        </is>
      </c>
    </row>
    <row r="19" ht="15" customHeight="1" s="50">
      <c r="A19" s="75" t="n">
        <v>46143</v>
      </c>
      <c r="B19" s="49" t="inlineStr">
        <is>
          <t>Logwin - Sikla</t>
        </is>
      </c>
      <c r="C19" s="49" t="inlineStr">
        <is>
          <t>Order Cut Off</t>
        </is>
      </c>
      <c r="E19" s="76" t="n">
        <v>0.95</v>
      </c>
      <c r="F19" s="49" t="n">
        <v>2</v>
      </c>
      <c r="G19" s="49" t="n">
        <v>3</v>
      </c>
      <c r="H19" s="76">
        <f>F102/G102</f>
        <v/>
      </c>
      <c r="I19" s="49">
        <f>IF(H102&gt;=E102,"Yes","No")</f>
        <v/>
      </c>
      <c r="J19" s="49" t="inlineStr">
        <is>
          <t>Below target - investigate root cause and add to next month's action plan</t>
        </is>
      </c>
    </row>
    <row r="20" ht="15" customHeight="1" s="50">
      <c r="A20" s="75" t="n">
        <v>46143</v>
      </c>
      <c r="B20" s="49" t="inlineStr">
        <is>
          <t>May Eleven NZ</t>
        </is>
      </c>
      <c r="C20" s="49" t="inlineStr">
        <is>
          <t>Order Cut Off</t>
        </is>
      </c>
      <c r="E20" s="76" t="n">
        <v>0.95</v>
      </c>
      <c r="F20" s="49" t="n">
        <v>1</v>
      </c>
      <c r="G20" s="49" t="n">
        <v>1</v>
      </c>
      <c r="H20" s="76">
        <f>F103/G103</f>
        <v/>
      </c>
      <c r="I20" s="49">
        <f>IF(H103&gt;=E103,"Yes","No")</f>
        <v/>
      </c>
    </row>
    <row r="21" ht="15" customHeight="1" s="50">
      <c r="A21" s="75" t="n">
        <v>46143</v>
      </c>
      <c r="B21" s="49" t="inlineStr">
        <is>
          <t>Oricom</t>
        </is>
      </c>
      <c r="C21" s="49" t="inlineStr">
        <is>
          <t>Order Cut Off</t>
        </is>
      </c>
      <c r="E21" s="76" t="n">
        <v>0.95</v>
      </c>
      <c r="F21" s="49" t="n">
        <v>40</v>
      </c>
      <c r="G21" s="49" t="n">
        <v>51</v>
      </c>
      <c r="H21" s="76">
        <f>F104/G104</f>
        <v/>
      </c>
      <c r="I21" s="49">
        <f>IF(H104&gt;=E104,"Yes","No")</f>
        <v/>
      </c>
      <c r="J21" s="49" t="inlineStr">
        <is>
          <t>Below target - investigate root cause and add to next month's action plan</t>
        </is>
      </c>
    </row>
    <row r="22" ht="15" customHeight="1" s="50">
      <c r="A22" s="75" t="n">
        <v>46143</v>
      </c>
      <c r="B22" s="49" t="inlineStr">
        <is>
          <t>Salt Shark</t>
        </is>
      </c>
      <c r="C22" s="49" t="inlineStr">
        <is>
          <t>Order Cut Off</t>
        </is>
      </c>
      <c r="E22" s="76" t="n">
        <v>0.95</v>
      </c>
      <c r="F22" s="49" t="n">
        <v>25</v>
      </c>
      <c r="G22" s="49" t="n">
        <v>79</v>
      </c>
      <c r="H22" s="76">
        <f>F105/G105</f>
        <v/>
      </c>
      <c r="I22" s="49">
        <f>IF(H105&gt;=E105,"Yes","No")</f>
        <v/>
      </c>
      <c r="J22" s="49" t="inlineStr">
        <is>
          <t>Below target - investigate root cause and add to next month's action plan</t>
        </is>
      </c>
    </row>
    <row r="23" ht="15" customHeight="1" s="50">
      <c r="A23" s="75" t="n">
        <v>46143</v>
      </c>
      <c r="B23" s="49" t="inlineStr">
        <is>
          <t>Vixxen</t>
        </is>
      </c>
      <c r="C23" s="49" t="inlineStr">
        <is>
          <t>Order Cut Off</t>
        </is>
      </c>
      <c r="E23" s="76" t="n">
        <v>0.95</v>
      </c>
      <c r="F23" s="49" t="n">
        <v>235</v>
      </c>
      <c r="G23" s="49" t="n">
        <v>298</v>
      </c>
      <c r="H23" s="76">
        <f>F106/G106</f>
        <v/>
      </c>
      <c r="I23" s="49">
        <f>IF(H106&gt;=E106,"Yes","No")</f>
        <v/>
      </c>
      <c r="J23" s="49" t="inlineStr">
        <is>
          <t>Below target - investigate root cause and add to next month's action plan</t>
        </is>
      </c>
    </row>
    <row r="24" ht="15" customHeight="1" s="50">
      <c r="A24" s="77" t="n">
        <v>46174</v>
      </c>
      <c r="B24" s="49" t="inlineStr">
        <is>
          <t>Oricom</t>
        </is>
      </c>
      <c r="C24" s="49" t="inlineStr">
        <is>
          <t>Stock Accuracy</t>
        </is>
      </c>
      <c r="E24" s="49" t="n">
        <v>0.995</v>
      </c>
      <c r="F24" s="49" t="n">
        <v>9994</v>
      </c>
      <c r="G24" s="49" t="n">
        <v>10000</v>
      </c>
      <c r="H24" s="49">
        <f>F24/G24</f>
        <v/>
      </c>
      <c r="I24" s="49">
        <f>IF(H24&gt;=E24,"Yes","No")</f>
        <v/>
      </c>
    </row>
    <row r="25" ht="15" customHeight="1" s="50">
      <c r="A25" s="75" t="n"/>
      <c r="E25" s="76" t="n"/>
      <c r="H25" s="76" t="n"/>
    </row>
    <row r="26" ht="15" customHeight="1" s="50">
      <c r="A26" s="75" t="n"/>
      <c r="E26" s="76" t="n"/>
      <c r="H26" s="76" t="n"/>
    </row>
    <row r="27" ht="15" customHeight="1" s="50">
      <c r="A27" s="75" t="n"/>
      <c r="E27" s="76" t="n"/>
      <c r="H27" s="76" t="n"/>
    </row>
    <row r="28" ht="15" customHeight="1" s="50">
      <c r="A28" s="75" t="n"/>
      <c r="E28" s="76" t="n"/>
      <c r="H28" s="76" t="n"/>
    </row>
    <row r="29" ht="15" customHeight="1" s="50">
      <c r="A29" s="75" t="n"/>
      <c r="E29" s="76" t="n"/>
      <c r="H29" s="76" t="n"/>
    </row>
    <row r="30" ht="15" customHeight="1" s="50">
      <c r="A30" s="75" t="n"/>
      <c r="E30" s="76" t="n"/>
      <c r="H30" s="76" t="n"/>
    </row>
    <row r="31" ht="15" customHeight="1" s="50">
      <c r="A31" s="75" t="n"/>
      <c r="E31" s="76" t="n"/>
      <c r="H31" s="76" t="n"/>
    </row>
    <row r="32" ht="15" customHeight="1" s="50">
      <c r="A32" s="75" t="n"/>
      <c r="E32" s="76" t="n"/>
      <c r="H32" s="76" t="n"/>
    </row>
    <row r="33" ht="15" customHeight="1" s="50">
      <c r="A33" s="75" t="n"/>
      <c r="E33" s="76" t="n"/>
      <c r="H33" s="76" t="n"/>
    </row>
    <row r="34" ht="15" customHeight="1" s="50">
      <c r="A34" s="75" t="n"/>
      <c r="E34" s="76" t="n"/>
      <c r="H34" s="76" t="n"/>
    </row>
    <row r="35" ht="15" customHeight="1" s="50">
      <c r="A35" s="75" t="n"/>
      <c r="E35" s="76" t="n"/>
      <c r="H35" s="76" t="n"/>
    </row>
    <row r="36" ht="15" customHeight="1" s="50">
      <c r="A36" s="75" t="n"/>
      <c r="E36" s="76" t="n"/>
      <c r="H36" s="76" t="n"/>
    </row>
    <row r="37" ht="15" customHeight="1" s="50">
      <c r="A37" s="75" t="n"/>
      <c r="E37" s="76" t="n"/>
      <c r="H37" s="76" t="n"/>
    </row>
    <row r="38" ht="15" customHeight="1" s="50">
      <c r="A38" s="75" t="n"/>
      <c r="E38" s="76" t="n"/>
      <c r="H38" s="76" t="n"/>
    </row>
    <row r="39" ht="15" customHeight="1" s="50">
      <c r="A39" s="75" t="n"/>
      <c r="E39" s="76" t="n"/>
      <c r="H39" s="76" t="n"/>
    </row>
    <row r="40" ht="15" customHeight="1" s="50">
      <c r="A40" s="75" t="n"/>
      <c r="E40" s="76" t="n"/>
      <c r="H40" s="76" t="n"/>
    </row>
    <row r="41" ht="15" customHeight="1" s="50">
      <c r="A41" s="75" t="n"/>
      <c r="E41" s="76" t="n"/>
      <c r="H41" s="76" t="n"/>
    </row>
    <row r="42" ht="15" customHeight="1" s="50">
      <c r="A42" s="75" t="n"/>
      <c r="E42" s="76" t="n"/>
      <c r="H42" s="76" t="n"/>
    </row>
    <row r="43" ht="15" customHeight="1" s="50">
      <c r="A43" s="75" t="n"/>
      <c r="E43" s="76" t="n"/>
      <c r="H43" s="76" t="n"/>
    </row>
    <row r="44" ht="15" customHeight="1" s="50">
      <c r="A44" s="75" t="n"/>
      <c r="E44" s="76" t="n"/>
      <c r="H44" s="76" t="n"/>
    </row>
    <row r="45" ht="15" customHeight="1" s="50">
      <c r="A45" s="75" t="n"/>
      <c r="E45" s="76" t="n"/>
      <c r="H45" s="76" t="n"/>
    </row>
    <row r="46" ht="15" customHeight="1" s="50">
      <c r="A46" s="75" t="n"/>
      <c r="E46" s="76" t="n"/>
      <c r="H46" s="76" t="n"/>
    </row>
    <row r="47" ht="15" customHeight="1" s="50">
      <c r="A47" s="75" t="n"/>
      <c r="E47" s="76" t="n"/>
      <c r="H47" s="76" t="n"/>
    </row>
    <row r="48" ht="15" customHeight="1" s="50">
      <c r="A48" s="75" t="n"/>
      <c r="E48" s="76" t="n"/>
      <c r="H48" s="76" t="n"/>
    </row>
    <row r="49" ht="15" customHeight="1" s="50">
      <c r="A49" s="75" t="n"/>
      <c r="E49" s="76" t="n"/>
      <c r="H49" s="76" t="n"/>
    </row>
    <row r="50" ht="15" customHeight="1" s="50">
      <c r="A50" s="75" t="n"/>
      <c r="E50" s="76" t="n"/>
      <c r="H50" s="76" t="n"/>
    </row>
    <row r="51" ht="15" customHeight="1" s="50">
      <c r="A51" s="75" t="n"/>
      <c r="E51" s="76" t="n"/>
      <c r="H51" s="76" t="n"/>
    </row>
    <row r="52" ht="15" customHeight="1" s="50">
      <c r="A52" s="75" t="n"/>
      <c r="E52" s="76" t="n"/>
      <c r="H52" s="76" t="n"/>
    </row>
    <row r="53" ht="15" customHeight="1" s="50">
      <c r="A53" s="75" t="n"/>
      <c r="E53" s="76" t="n"/>
      <c r="H53" s="76" t="n"/>
    </row>
    <row r="54" ht="15" customHeight="1" s="50">
      <c r="A54" s="75" t="n"/>
      <c r="E54" s="76" t="n"/>
      <c r="H54" s="76" t="n"/>
    </row>
    <row r="55" ht="15" customHeight="1" s="50">
      <c r="A55" s="75" t="n"/>
      <c r="E55" s="76" t="n"/>
      <c r="H55" s="76" t="n"/>
    </row>
    <row r="56" ht="15" customHeight="1" s="50">
      <c r="A56" s="75" t="n"/>
      <c r="E56" s="76" t="n"/>
      <c r="H56" s="76" t="n"/>
    </row>
    <row r="57" ht="15" customHeight="1" s="50">
      <c r="A57" s="75" t="n"/>
      <c r="E57" s="76" t="n"/>
      <c r="H57" s="76" t="n"/>
    </row>
    <row r="58" ht="15" customHeight="1" s="50">
      <c r="A58" s="75" t="n"/>
      <c r="E58" s="76" t="n"/>
      <c r="H58" s="76" t="n"/>
    </row>
    <row r="59" ht="15" customHeight="1" s="50">
      <c r="A59" s="75" t="n"/>
      <c r="E59" s="76" t="n"/>
      <c r="H59" s="76" t="n"/>
    </row>
    <row r="60" ht="15" customHeight="1" s="50">
      <c r="A60" s="75" t="n"/>
      <c r="E60" s="76" t="n"/>
      <c r="H60" s="76" t="n"/>
    </row>
    <row r="61" ht="15" customHeight="1" s="50">
      <c r="A61" s="75" t="n"/>
      <c r="E61" s="76" t="n"/>
      <c r="H61" s="76" t="n"/>
    </row>
    <row r="62" ht="15" customHeight="1" s="50">
      <c r="A62" s="75" t="n"/>
      <c r="E62" s="76" t="n"/>
      <c r="H62" s="76" t="n"/>
    </row>
    <row r="63" ht="15" customHeight="1" s="50">
      <c r="A63" s="75" t="n"/>
      <c r="E63" s="76" t="n"/>
      <c r="H63" s="76" t="n"/>
    </row>
    <row r="64" ht="15" customHeight="1" s="50">
      <c r="A64" s="75" t="n"/>
      <c r="E64" s="76" t="n"/>
      <c r="H64" s="76" t="n"/>
    </row>
    <row r="65" ht="15" customHeight="1" s="50">
      <c r="A65" s="75" t="n"/>
      <c r="E65" s="76" t="n"/>
      <c r="H65" s="76" t="n"/>
    </row>
    <row r="66" ht="15" customHeight="1" s="50">
      <c r="A66" s="75" t="n"/>
      <c r="E66" s="76" t="n"/>
      <c r="H66" s="76" t="n"/>
    </row>
    <row r="67" ht="15" customHeight="1" s="50">
      <c r="A67" s="75" t="n"/>
      <c r="E67" s="76" t="n"/>
      <c r="H67" s="76" t="n"/>
    </row>
    <row r="68" ht="15" customHeight="1" s="50">
      <c r="A68" s="75" t="n"/>
      <c r="E68" s="76" t="n"/>
      <c r="H68" s="76" t="n"/>
    </row>
    <row r="69" ht="15" customHeight="1" s="50">
      <c r="A69" s="75" t="n"/>
      <c r="E69" s="76" t="n"/>
      <c r="H69" s="76" t="n"/>
    </row>
    <row r="70" ht="15" customHeight="1" s="50">
      <c r="A70" s="75" t="n"/>
      <c r="E70" s="76" t="n"/>
      <c r="H70" s="76" t="n"/>
    </row>
    <row r="71" ht="15" customHeight="1" s="50">
      <c r="A71" s="75" t="n"/>
      <c r="E71" s="76" t="n"/>
      <c r="H71" s="76" t="n"/>
    </row>
    <row r="72" ht="15" customHeight="1" s="50">
      <c r="A72" s="75" t="n"/>
      <c r="E72" s="76" t="n"/>
      <c r="H72" s="76" t="n"/>
    </row>
    <row r="73" ht="15" customHeight="1" s="50">
      <c r="A73" s="75" t="n"/>
      <c r="E73" s="76" t="n"/>
      <c r="H73" s="76" t="n"/>
    </row>
    <row r="74" ht="15" customHeight="1" s="50">
      <c r="A74" s="75" t="n"/>
      <c r="E74" s="76" t="n"/>
      <c r="H74" s="76" t="n"/>
    </row>
    <row r="75" ht="15" customHeight="1" s="50">
      <c r="A75" s="75" t="n"/>
      <c r="E75" s="76" t="n"/>
      <c r="H75" s="76" t="n"/>
    </row>
    <row r="76" ht="15" customHeight="1" s="50">
      <c r="A76" s="75" t="n"/>
      <c r="E76" s="76" t="n"/>
      <c r="H76" s="76" t="n"/>
    </row>
    <row r="77" ht="15" customHeight="1" s="50">
      <c r="A77" s="75" t="n"/>
      <c r="E77" s="76" t="n"/>
      <c r="H77" s="76" t="n"/>
    </row>
    <row r="78" ht="15" customHeight="1" s="50">
      <c r="A78" s="75" t="n"/>
      <c r="E78" s="76" t="n"/>
      <c r="H78" s="76" t="n"/>
    </row>
    <row r="79" ht="15" customHeight="1" s="50">
      <c r="A79" s="75" t="n"/>
      <c r="E79" s="76" t="n"/>
      <c r="H79" s="76" t="n"/>
    </row>
    <row r="80" ht="15" customHeight="1" s="50">
      <c r="A80" s="75" t="n"/>
      <c r="E80" s="76" t="n"/>
      <c r="H80" s="76" t="n"/>
    </row>
    <row r="81" ht="15" customHeight="1" s="50">
      <c r="A81" s="75" t="n"/>
      <c r="E81" s="76" t="n"/>
      <c r="H81" s="76" t="n"/>
    </row>
    <row r="82" ht="15" customHeight="1" s="50">
      <c r="A82" s="75" t="n"/>
      <c r="E82" s="76" t="n"/>
      <c r="H82" s="76" t="n"/>
    </row>
    <row r="83" ht="15" customHeight="1" s="50">
      <c r="A83" s="75" t="n"/>
      <c r="E83" s="76" t="n"/>
      <c r="H83" s="76" t="n"/>
    </row>
    <row r="84" ht="15" customHeight="1" s="50">
      <c r="A84" s="75" t="n"/>
      <c r="E84" s="76" t="n"/>
      <c r="H84" s="76" t="n"/>
    </row>
    <row r="85" ht="15" customHeight="1" s="50">
      <c r="A85" s="75" t="n"/>
      <c r="E85" s="76" t="n"/>
      <c r="H85" s="76" t="n"/>
    </row>
    <row r="86" ht="15" customHeight="1" s="50">
      <c r="A86" s="75" t="n"/>
      <c r="E86" s="76" t="n"/>
      <c r="H86" s="76" t="n"/>
    </row>
    <row r="87" ht="15" customHeight="1" s="50">
      <c r="A87" s="75" t="n"/>
      <c r="E87" s="76" t="n"/>
      <c r="H87" s="76" t="n"/>
    </row>
    <row r="88" ht="15" customHeight="1" s="50">
      <c r="A88" s="75" t="n"/>
      <c r="E88" s="76" t="n"/>
      <c r="H88" s="76" t="n"/>
    </row>
    <row r="89" ht="15" customHeight="1" s="50">
      <c r="A89" s="75" t="n"/>
      <c r="E89" s="76" t="n"/>
      <c r="H89" s="76" t="n"/>
    </row>
    <row r="90" ht="15" customHeight="1" s="50">
      <c r="A90" s="77" t="n">
        <v>46082</v>
      </c>
      <c r="B90" s="49" t="inlineStr">
        <is>
          <t>Coromandel Mountains Company Limited</t>
        </is>
      </c>
      <c r="C90" s="49" t="inlineStr">
        <is>
          <t>Freight DIFOT</t>
        </is>
      </c>
      <c r="E90" s="49" t="n">
        <v>0.95</v>
      </c>
      <c r="F90" s="49" t="n">
        <v>0</v>
      </c>
      <c r="G90" s="49" t="n">
        <v>1</v>
      </c>
      <c r="H90" s="49">
        <f>F150/G150</f>
        <v/>
      </c>
      <c r="I90" s="49">
        <f>IF(H150&gt;=E150,"Yes","No")</f>
        <v/>
      </c>
      <c r="J90" s="49" t="inlineStr">
        <is>
          <t>Below target - investigate root cause and add to next month's action plan</t>
        </is>
      </c>
    </row>
    <row r="91" ht="15" customHeight="1" s="50">
      <c r="A91" s="77" t="n">
        <v>46082</v>
      </c>
      <c r="B91" s="49" t="inlineStr">
        <is>
          <t>Jock Freight - SECA</t>
        </is>
      </c>
      <c r="C91" s="49" t="inlineStr">
        <is>
          <t>Freight DIFOT</t>
        </is>
      </c>
      <c r="E91" s="49" t="n">
        <v>0.95</v>
      </c>
      <c r="F91" s="49" t="n">
        <v>9</v>
      </c>
      <c r="G91" s="49" t="n">
        <v>10</v>
      </c>
      <c r="H91" s="49">
        <f>F151/G151</f>
        <v/>
      </c>
      <c r="I91" s="49">
        <f>IF(H151&gt;=E151,"Yes","No")</f>
        <v/>
      </c>
      <c r="J91" s="49" t="inlineStr">
        <is>
          <t>Below target - investigate root cause and add to next month's action plan</t>
        </is>
      </c>
    </row>
    <row r="92" ht="15" customHeight="1" s="50">
      <c r="A92" s="77" t="n">
        <v>46082</v>
      </c>
      <c r="B92" s="49" t="inlineStr">
        <is>
          <t>May Eleven NZ</t>
        </is>
      </c>
      <c r="C92" s="49" t="inlineStr">
        <is>
          <t>Freight DIFOT</t>
        </is>
      </c>
      <c r="E92" s="49" t="n">
        <v>0.95</v>
      </c>
      <c r="F92" s="49" t="n">
        <v>1</v>
      </c>
      <c r="G92" s="49" t="n">
        <v>1</v>
      </c>
      <c r="H92" s="49">
        <f>F152/G152</f>
        <v/>
      </c>
      <c r="I92" s="49">
        <f>IF(H152&gt;=E152,"Yes","No")</f>
        <v/>
      </c>
    </row>
    <row r="93" ht="15" customHeight="1" s="50">
      <c r="A93" s="77" t="n">
        <v>46082</v>
      </c>
      <c r="B93" s="49" t="inlineStr">
        <is>
          <t>Oricom</t>
        </is>
      </c>
      <c r="C93" s="49" t="inlineStr">
        <is>
          <t>Freight DIFOT</t>
        </is>
      </c>
      <c r="E93" s="49" t="n">
        <v>0.95</v>
      </c>
      <c r="F93" s="49" t="n">
        <v>3</v>
      </c>
      <c r="G93" s="49" t="n">
        <v>3</v>
      </c>
      <c r="H93" s="49">
        <f>F153/G153</f>
        <v/>
      </c>
      <c r="I93" s="49">
        <f>IF(H153&gt;=E153,"Yes","No")</f>
        <v/>
      </c>
    </row>
    <row r="94" ht="15" customHeight="1" s="50">
      <c r="A94" s="77" t="n">
        <v>46082</v>
      </c>
      <c r="B94" s="49" t="inlineStr">
        <is>
          <t>Salt Shark</t>
        </is>
      </c>
      <c r="C94" s="49" t="inlineStr">
        <is>
          <t>Freight DIFOT</t>
        </is>
      </c>
      <c r="E94" s="49" t="n">
        <v>0.95</v>
      </c>
      <c r="F94" s="49" t="n">
        <v>13</v>
      </c>
      <c r="G94" s="49" t="n">
        <v>18</v>
      </c>
      <c r="H94" s="49">
        <f>F154/G154</f>
        <v/>
      </c>
      <c r="I94" s="49">
        <f>IF(H154&gt;=E154,"Yes","No")</f>
        <v/>
      </c>
      <c r="J94" s="49" t="inlineStr">
        <is>
          <t>Below target - investigate root cause and add to next month's action plan</t>
        </is>
      </c>
    </row>
    <row r="95" ht="15" customHeight="1" s="50">
      <c r="A95" s="77" t="n">
        <v>46113</v>
      </c>
      <c r="B95" s="49" t="inlineStr">
        <is>
          <t>Aleger Studio</t>
        </is>
      </c>
      <c r="C95" s="49" t="inlineStr">
        <is>
          <t>Freight DIFOT</t>
        </is>
      </c>
      <c r="E95" s="49" t="n">
        <v>0.95</v>
      </c>
      <c r="F95" s="49" t="n">
        <v>6</v>
      </c>
      <c r="G95" s="49" t="n">
        <v>16</v>
      </c>
      <c r="H95" s="49">
        <f>F155/G155</f>
        <v/>
      </c>
      <c r="I95" s="49">
        <f>IF(H155&gt;=E155,"Yes","No")</f>
        <v/>
      </c>
      <c r="J95" s="49" t="inlineStr">
        <is>
          <t>Below target - investigate root cause and add to next month's action plan</t>
        </is>
      </c>
    </row>
    <row r="96" ht="15" customHeight="1" s="50">
      <c r="A96" s="77" t="n">
        <v>46113</v>
      </c>
      <c r="B96" s="49" t="inlineStr">
        <is>
          <t>Coromandel Mountains Company Limited</t>
        </is>
      </c>
      <c r="C96" s="49" t="inlineStr">
        <is>
          <t>Freight DIFOT</t>
        </is>
      </c>
      <c r="E96" s="49" t="n">
        <v>0.95</v>
      </c>
      <c r="F96" s="49" t="n">
        <v>4</v>
      </c>
      <c r="G96" s="49" t="n">
        <v>5</v>
      </c>
      <c r="H96" s="49">
        <f>F156/G156</f>
        <v/>
      </c>
      <c r="I96" s="49">
        <f>IF(H156&gt;=E156,"Yes","No")</f>
        <v/>
      </c>
      <c r="J96" s="49" t="inlineStr">
        <is>
          <t>Below target - investigate root cause and add to next month's action plan</t>
        </is>
      </c>
    </row>
    <row r="97" ht="15" customHeight="1" s="50">
      <c r="A97" s="77" t="n">
        <v>46113</v>
      </c>
      <c r="B97" s="49" t="inlineStr">
        <is>
          <t>Jock Freight - SECA</t>
        </is>
      </c>
      <c r="C97" s="49" t="inlineStr">
        <is>
          <t>Freight DIFOT</t>
        </is>
      </c>
      <c r="E97" s="49" t="n">
        <v>0.95</v>
      </c>
      <c r="F97" s="49" t="n">
        <v>9</v>
      </c>
      <c r="G97" s="49" t="n">
        <v>10</v>
      </c>
      <c r="H97" s="49">
        <f>F157/G157</f>
        <v/>
      </c>
      <c r="I97" s="49">
        <f>IF(H157&gt;=E157,"Yes","No")</f>
        <v/>
      </c>
      <c r="J97" s="49" t="inlineStr">
        <is>
          <t>Below target - investigate root cause and add to next month's action plan</t>
        </is>
      </c>
    </row>
    <row r="98" ht="15" customHeight="1" s="50">
      <c r="A98" s="77" t="n">
        <v>46113</v>
      </c>
      <c r="B98" s="49" t="inlineStr">
        <is>
          <t>Oricom</t>
        </is>
      </c>
      <c r="C98" s="49" t="inlineStr">
        <is>
          <t>Freight DIFOT</t>
        </is>
      </c>
      <c r="E98" s="49" t="n">
        <v>0.95</v>
      </c>
      <c r="F98" s="49" t="n">
        <v>22</v>
      </c>
      <c r="G98" s="49" t="n">
        <v>28</v>
      </c>
      <c r="H98" s="49">
        <f>F158/G158</f>
        <v/>
      </c>
      <c r="I98" s="49">
        <f>IF(H158&gt;=E158,"Yes","No")</f>
        <v/>
      </c>
      <c r="J98" s="49" t="inlineStr">
        <is>
          <t>Below target - investigate root cause and add to next month's action plan</t>
        </is>
      </c>
    </row>
    <row r="99" ht="15" customHeight="1" s="50">
      <c r="A99" s="77" t="n">
        <v>46113</v>
      </c>
      <c r="B99" s="49" t="inlineStr">
        <is>
          <t>Salt Shark</t>
        </is>
      </c>
      <c r="C99" s="49" t="inlineStr">
        <is>
          <t>Freight DIFOT</t>
        </is>
      </c>
      <c r="E99" s="49" t="n">
        <v>0.95</v>
      </c>
      <c r="F99" s="49" t="n">
        <v>37</v>
      </c>
      <c r="G99" s="49" t="n">
        <v>45</v>
      </c>
      <c r="H99" s="49">
        <f>F159/G159</f>
        <v/>
      </c>
      <c r="I99" s="49">
        <f>IF(H159&gt;=E159,"Yes","No")</f>
        <v/>
      </c>
      <c r="J99" s="49" t="inlineStr">
        <is>
          <t>Below target - investigate root cause and add to next month's action plan</t>
        </is>
      </c>
    </row>
    <row r="100" ht="15" customHeight="1" s="50">
      <c r="A100" s="77" t="n">
        <v>46143</v>
      </c>
      <c r="B100" s="49" t="inlineStr">
        <is>
          <t>Coromandel Mountains Company Limited</t>
        </is>
      </c>
      <c r="C100" s="49" t="inlineStr">
        <is>
          <t>Freight DIFOT</t>
        </is>
      </c>
      <c r="E100" s="49" t="n">
        <v>0.95</v>
      </c>
      <c r="F100" s="49" t="n">
        <v>6</v>
      </c>
      <c r="G100" s="49" t="n">
        <v>7</v>
      </c>
      <c r="H100" s="49">
        <f>F153/G153</f>
        <v/>
      </c>
      <c r="I100" s="49">
        <f>IF(H153&gt;=E153,"Yes","No")</f>
        <v/>
      </c>
      <c r="J100" s="49" t="inlineStr">
        <is>
          <t>Below target - investigate root cause and add to next month's action plan</t>
        </is>
      </c>
    </row>
    <row r="101" ht="15" customHeight="1" s="50">
      <c r="A101" s="77" t="n">
        <v>46143</v>
      </c>
      <c r="B101" s="49" t="inlineStr">
        <is>
          <t>Interior Images</t>
        </is>
      </c>
      <c r="C101" s="49" t="inlineStr">
        <is>
          <t>Freight DIFOT</t>
        </is>
      </c>
      <c r="E101" s="49" t="n">
        <v>0.95</v>
      </c>
      <c r="F101" s="49" t="n">
        <v>1</v>
      </c>
      <c r="G101" s="49" t="n">
        <v>1</v>
      </c>
      <c r="H101" s="49">
        <f>F154/G154</f>
        <v/>
      </c>
      <c r="I101" s="49">
        <f>IF(H154&gt;=E154,"Yes","No")</f>
        <v/>
      </c>
    </row>
    <row r="102" ht="15" customHeight="1" s="50">
      <c r="A102" s="77" t="n">
        <v>46143</v>
      </c>
      <c r="B102" s="49" t="inlineStr">
        <is>
          <t>Jock Freight - SECA</t>
        </is>
      </c>
      <c r="C102" s="49" t="inlineStr">
        <is>
          <t>Freight DIFOT</t>
        </is>
      </c>
      <c r="E102" s="49" t="n">
        <v>0.95</v>
      </c>
      <c r="F102" s="49" t="n">
        <v>5</v>
      </c>
      <c r="G102" s="49" t="n">
        <v>6</v>
      </c>
      <c r="H102" s="49">
        <f>F155/G155</f>
        <v/>
      </c>
      <c r="I102" s="49">
        <f>IF(H155&gt;=E155,"Yes","No")</f>
        <v/>
      </c>
      <c r="J102" s="49" t="inlineStr">
        <is>
          <t>Below target - investigate root cause and add to next month's action plan</t>
        </is>
      </c>
    </row>
    <row r="103" ht="15" customHeight="1" s="50">
      <c r="A103" s="77" t="n">
        <v>46143</v>
      </c>
      <c r="B103" s="49" t="inlineStr">
        <is>
          <t>May Eleven NZ</t>
        </is>
      </c>
      <c r="C103" s="49" t="inlineStr">
        <is>
          <t>Freight DIFOT</t>
        </is>
      </c>
      <c r="E103" s="49" t="n">
        <v>0.95</v>
      </c>
      <c r="F103" s="49" t="n">
        <v>1</v>
      </c>
      <c r="G103" s="49" t="n">
        <v>1</v>
      </c>
      <c r="H103" s="49">
        <f>F156/G156</f>
        <v/>
      </c>
      <c r="I103" s="49">
        <f>IF(H156&gt;=E156,"Yes","No")</f>
        <v/>
      </c>
    </row>
    <row r="104" ht="15" customHeight="1" s="50">
      <c r="A104" s="77" t="n">
        <v>46143</v>
      </c>
      <c r="B104" s="49" t="inlineStr">
        <is>
          <t>Oricom</t>
        </is>
      </c>
      <c r="C104" s="49" t="inlineStr">
        <is>
          <t>Freight DIFOT</t>
        </is>
      </c>
      <c r="E104" s="49" t="n">
        <v>0.95</v>
      </c>
      <c r="F104" s="49" t="n">
        <v>21</v>
      </c>
      <c r="G104" s="49" t="n">
        <v>22</v>
      </c>
      <c r="H104" s="49">
        <f>F157/G157</f>
        <v/>
      </c>
      <c r="I104" s="49">
        <f>IF(H157&gt;=E157,"Yes","No")</f>
        <v/>
      </c>
    </row>
    <row r="105" ht="15" customHeight="1" s="50">
      <c r="A105" s="77" t="n">
        <v>46143</v>
      </c>
      <c r="B105" s="49" t="inlineStr">
        <is>
          <t>Salt Shark</t>
        </is>
      </c>
      <c r="C105" s="49" t="inlineStr">
        <is>
          <t>Freight DIFOT</t>
        </is>
      </c>
      <c r="E105" s="49" t="n">
        <v>0.95</v>
      </c>
      <c r="F105" s="49" t="n">
        <v>45</v>
      </c>
      <c r="G105" s="49" t="n">
        <v>49</v>
      </c>
      <c r="H105" s="49">
        <f>F158/G158</f>
        <v/>
      </c>
      <c r="I105" s="49">
        <f>IF(H158&gt;=E158,"Yes","No")</f>
        <v/>
      </c>
      <c r="J105" s="49" t="inlineStr">
        <is>
          <t>Below target - investigate root cause and add to next month's action plan</t>
        </is>
      </c>
    </row>
    <row r="106" ht="15" customHeight="1" s="50">
      <c r="A106" s="77" t="n">
        <v>46143</v>
      </c>
      <c r="B106" s="49" t="inlineStr">
        <is>
          <t>Vixxen</t>
        </is>
      </c>
      <c r="C106" s="49" t="inlineStr">
        <is>
          <t>Freight DIFOT</t>
        </is>
      </c>
      <c r="E106" s="49" t="n">
        <v>0.95</v>
      </c>
      <c r="F106" s="49" t="n">
        <v>78</v>
      </c>
      <c r="G106" s="49" t="n">
        <v>82</v>
      </c>
      <c r="H106" s="49">
        <f>F159/G159</f>
        <v/>
      </c>
      <c r="I106" s="49">
        <f>IF(H159&gt;=E159,"Yes","No")</f>
        <v/>
      </c>
    </row>
    <row r="107" ht="15" customHeight="1" s="50">
      <c r="A107" s="75" t="n">
        <v>46082</v>
      </c>
      <c r="B107" s="49" t="inlineStr">
        <is>
          <t>Coromandel Mountains Company Limited</t>
        </is>
      </c>
      <c r="C107" s="49" t="inlineStr">
        <is>
          <t>Dock to Stock</t>
        </is>
      </c>
      <c r="E107" s="76" t="n">
        <v>0.95</v>
      </c>
      <c r="F107" s="49" t="n">
        <v>3</v>
      </c>
      <c r="G107" s="49" t="n">
        <v>3</v>
      </c>
      <c r="H107" s="76">
        <f>F149/G149</f>
        <v/>
      </c>
      <c r="I107" s="49">
        <f>IF(H149&gt;=E149,"Yes","No")</f>
        <v/>
      </c>
    </row>
    <row r="108" ht="15" customHeight="1" s="50">
      <c r="A108" s="75" t="n">
        <v>46082</v>
      </c>
      <c r="B108" s="49" t="inlineStr">
        <is>
          <t>Jock Freight - SECA</t>
        </is>
      </c>
      <c r="C108" s="49" t="inlineStr">
        <is>
          <t>Dock to Stock</t>
        </is>
      </c>
      <c r="E108" s="76" t="n">
        <v>0.95</v>
      </c>
      <c r="F108" s="49" t="n">
        <v>2</v>
      </c>
      <c r="G108" s="49" t="n">
        <v>6</v>
      </c>
      <c r="H108" s="76">
        <f>F150/G150</f>
        <v/>
      </c>
      <c r="I108" s="49">
        <f>IF(H150&gt;=E150,"Yes","No")</f>
        <v/>
      </c>
      <c r="J108" s="49" t="inlineStr">
        <is>
          <t>Below target - investigate root cause and add to next month's action plan</t>
        </is>
      </c>
    </row>
    <row r="109" ht="15" customHeight="1" s="50">
      <c r="A109" s="75" t="n">
        <v>46082</v>
      </c>
      <c r="B109" s="49" t="inlineStr">
        <is>
          <t>May Eleven NZ</t>
        </is>
      </c>
      <c r="C109" s="49" t="inlineStr">
        <is>
          <t>Dock to Stock</t>
        </is>
      </c>
      <c r="E109" s="76" t="n">
        <v>0.95</v>
      </c>
      <c r="F109" s="49" t="n">
        <v>1</v>
      </c>
      <c r="G109" s="49" t="n">
        <v>1</v>
      </c>
      <c r="H109" s="76">
        <f>F151/G151</f>
        <v/>
      </c>
      <c r="I109" s="49">
        <f>IF(H151&gt;=E151,"Yes","No")</f>
        <v/>
      </c>
    </row>
    <row r="110" ht="15" customHeight="1" s="50">
      <c r="A110" s="75" t="n">
        <v>46082</v>
      </c>
      <c r="B110" s="49" t="inlineStr">
        <is>
          <t>Oricom</t>
        </is>
      </c>
      <c r="C110" s="49" t="inlineStr">
        <is>
          <t>Dock to Stock</t>
        </is>
      </c>
      <c r="E110" s="76" t="n">
        <v>0.95</v>
      </c>
      <c r="F110" s="49" t="n">
        <v>4</v>
      </c>
      <c r="G110" s="49" t="n">
        <v>5</v>
      </c>
      <c r="H110" s="76">
        <f>F152/G152</f>
        <v/>
      </c>
      <c r="I110" s="49">
        <f>IF(H152&gt;=E152,"Yes","No")</f>
        <v/>
      </c>
      <c r="J110" s="49" t="inlineStr">
        <is>
          <t>Below target - investigate root cause and add to next month's action plan</t>
        </is>
      </c>
    </row>
    <row r="111" ht="15" customHeight="1" s="50">
      <c r="A111" s="75" t="n">
        <v>46082</v>
      </c>
      <c r="B111" s="49" t="inlineStr">
        <is>
          <t>Salt Shark</t>
        </is>
      </c>
      <c r="C111" s="49" t="inlineStr">
        <is>
          <t>Dock to Stock</t>
        </is>
      </c>
      <c r="E111" s="76" t="n">
        <v>0.95</v>
      </c>
      <c r="F111" s="49" t="n">
        <v>1</v>
      </c>
      <c r="G111" s="49" t="n">
        <v>1</v>
      </c>
      <c r="H111" s="76">
        <f>F153/G153</f>
        <v/>
      </c>
      <c r="I111" s="49">
        <f>IF(H153&gt;=E153,"Yes","No")</f>
        <v/>
      </c>
    </row>
    <row r="112" ht="15" customHeight="1" s="50">
      <c r="A112" s="75" t="n">
        <v>46082</v>
      </c>
      <c r="B112" s="49" t="inlineStr">
        <is>
          <t>Aleger Studio</t>
        </is>
      </c>
      <c r="C112" s="49" t="inlineStr">
        <is>
          <t>Order Cut Off</t>
        </is>
      </c>
      <c r="E112" s="76" t="n">
        <v>0.95</v>
      </c>
      <c r="F112" s="49" t="n">
        <v>0</v>
      </c>
      <c r="G112" s="49" t="n">
        <v>11</v>
      </c>
      <c r="H112" s="76">
        <f>F154/G154</f>
        <v/>
      </c>
      <c r="I112" s="49">
        <f>IF(H154&gt;=E154,"Yes","No")</f>
        <v/>
      </c>
      <c r="J112" s="49" t="inlineStr">
        <is>
          <t>Below target - investigate root cause and add to next month's action plan</t>
        </is>
      </c>
    </row>
    <row r="113" ht="15" customHeight="1" s="50">
      <c r="A113" s="75" t="n">
        <v>46082</v>
      </c>
      <c r="B113" s="49" t="inlineStr">
        <is>
          <t>Coromandel Mountains Company Limited</t>
        </is>
      </c>
      <c r="C113" s="49" t="inlineStr">
        <is>
          <t>Order Cut Off</t>
        </is>
      </c>
      <c r="E113" s="76" t="n">
        <v>0.95</v>
      </c>
      <c r="F113" s="49" t="n">
        <v>1</v>
      </c>
      <c r="G113" s="49" t="n">
        <v>2</v>
      </c>
      <c r="H113" s="76">
        <f>F155/G155</f>
        <v/>
      </c>
      <c r="I113" s="49">
        <f>IF(H155&gt;=E155,"Yes","No")</f>
        <v/>
      </c>
      <c r="J113" s="49" t="inlineStr">
        <is>
          <t>Below target - investigate root cause and add to next month's action plan</t>
        </is>
      </c>
    </row>
    <row r="114" ht="15" customHeight="1" s="50">
      <c r="A114" s="75" t="n">
        <v>46082</v>
      </c>
      <c r="B114" s="49" t="inlineStr">
        <is>
          <t>Jock Freight - SECA</t>
        </is>
      </c>
      <c r="C114" s="49" t="inlineStr">
        <is>
          <t>Order Cut Off</t>
        </is>
      </c>
      <c r="E114" s="76" t="n">
        <v>0.95</v>
      </c>
      <c r="F114" s="49" t="n">
        <v>11</v>
      </c>
      <c r="G114" s="49" t="n">
        <v>25</v>
      </c>
      <c r="H114" s="76">
        <f>F156/G156</f>
        <v/>
      </c>
      <c r="I114" s="49">
        <f>IF(H156&gt;=E156,"Yes","No")</f>
        <v/>
      </c>
      <c r="J114" s="49" t="inlineStr">
        <is>
          <t>Below target - investigate root cause and add to next month's action plan</t>
        </is>
      </c>
    </row>
    <row r="115" ht="15" customHeight="1" s="50">
      <c r="A115" s="75" t="n">
        <v>46082</v>
      </c>
      <c r="B115" s="49" t="inlineStr">
        <is>
          <t>May Eleven NZ</t>
        </is>
      </c>
      <c r="C115" s="49" t="inlineStr">
        <is>
          <t>Order Cut Off</t>
        </is>
      </c>
      <c r="E115" s="76" t="n">
        <v>0.95</v>
      </c>
      <c r="F115" s="49" t="n">
        <v>0</v>
      </c>
      <c r="G115" s="49" t="n">
        <v>1</v>
      </c>
      <c r="H115" s="76">
        <f>F157/G157</f>
        <v/>
      </c>
      <c r="I115" s="49">
        <f>IF(H157&gt;=E157,"Yes","No")</f>
        <v/>
      </c>
      <c r="J115" s="49" t="inlineStr">
        <is>
          <t>Below target - investigate root cause and add to next month's action plan</t>
        </is>
      </c>
    </row>
    <row r="116" ht="15" customHeight="1" s="50">
      <c r="A116" s="75" t="n">
        <v>46082</v>
      </c>
      <c r="B116" s="49" t="inlineStr">
        <is>
          <t>Oricom</t>
        </is>
      </c>
      <c r="C116" s="49" t="inlineStr">
        <is>
          <t>Order Cut Off</t>
        </is>
      </c>
      <c r="E116" s="76" t="n">
        <v>0.95</v>
      </c>
      <c r="F116" s="49" t="n">
        <v>9</v>
      </c>
      <c r="G116" s="49" t="n">
        <v>10</v>
      </c>
      <c r="H116" s="76">
        <f>F158/G158</f>
        <v/>
      </c>
      <c r="I116" s="49">
        <f>IF(H158&gt;=E158,"Yes","No")</f>
        <v/>
      </c>
      <c r="J116" s="49" t="inlineStr">
        <is>
          <t>Below target - investigate root cause and add to next month's action plan</t>
        </is>
      </c>
    </row>
    <row r="117" ht="15" customHeight="1" s="50">
      <c r="A117" s="75" t="n">
        <v>46082</v>
      </c>
      <c r="B117" s="49" t="inlineStr">
        <is>
          <t>Salt Shark</t>
        </is>
      </c>
      <c r="C117" s="49" t="inlineStr">
        <is>
          <t>Order Cut Off</t>
        </is>
      </c>
      <c r="E117" s="76" t="n">
        <v>0.95</v>
      </c>
      <c r="F117" s="49" t="n">
        <v>73</v>
      </c>
      <c r="G117" s="49" t="n">
        <v>79</v>
      </c>
      <c r="H117" s="76">
        <f>F159/G159</f>
        <v/>
      </c>
      <c r="I117" s="49">
        <f>IF(H159&gt;=E159,"Yes","No")</f>
        <v/>
      </c>
      <c r="J117" s="49" t="inlineStr">
        <is>
          <t>Below target - investigate root cause and add to next month's action plan</t>
        </is>
      </c>
    </row>
    <row r="118" ht="15" customHeight="1" s="50">
      <c r="A118" s="75" t="n">
        <v>46113</v>
      </c>
      <c r="B118" s="49" t="inlineStr">
        <is>
          <t>Aleger Studio</t>
        </is>
      </c>
      <c r="C118" s="49" t="inlineStr">
        <is>
          <t>Dock to Stock</t>
        </is>
      </c>
      <c r="E118" s="76" t="n">
        <v>0.95</v>
      </c>
      <c r="F118" s="49" t="n">
        <v>2</v>
      </c>
      <c r="G118" s="49" t="n">
        <v>2</v>
      </c>
      <c r="H118" s="76">
        <f>F145/G145</f>
        <v/>
      </c>
      <c r="I118" s="49">
        <f>IF(H145&gt;=E145,"Yes","No")</f>
        <v/>
      </c>
    </row>
    <row r="119" ht="15" customHeight="1" s="50">
      <c r="A119" s="75" t="n">
        <v>46113</v>
      </c>
      <c r="B119" s="49" t="inlineStr">
        <is>
          <t>Coromandel Mountains Company Limited</t>
        </is>
      </c>
      <c r="C119" s="49" t="inlineStr">
        <is>
          <t>Dock to Stock</t>
        </is>
      </c>
      <c r="E119" s="76" t="n">
        <v>0.95</v>
      </c>
      <c r="F119" s="49" t="n">
        <v>2</v>
      </c>
      <c r="G119" s="49" t="n">
        <v>3</v>
      </c>
      <c r="H119" s="76">
        <f>F146/G146</f>
        <v/>
      </c>
      <c r="I119" s="49">
        <f>IF(H146&gt;=E146,"Yes","No")</f>
        <v/>
      </c>
      <c r="J119" s="49" t="inlineStr">
        <is>
          <t>Below target - investigate root cause and add to next month's action plan</t>
        </is>
      </c>
    </row>
    <row r="120" ht="15" customHeight="1" s="50">
      <c r="A120" s="75" t="n">
        <v>46113</v>
      </c>
      <c r="B120" s="49" t="inlineStr">
        <is>
          <t>Jock Freight - SECA</t>
        </is>
      </c>
      <c r="C120" s="49" t="inlineStr">
        <is>
          <t>Dock to Stock</t>
        </is>
      </c>
      <c r="E120" s="76" t="n">
        <v>0.95</v>
      </c>
      <c r="F120" s="49" t="n">
        <v>0</v>
      </c>
      <c r="G120" s="49" t="n">
        <v>1</v>
      </c>
      <c r="H120" s="76">
        <f>F147/G147</f>
        <v/>
      </c>
      <c r="I120" s="49">
        <f>IF(H147&gt;=E147,"Yes","No")</f>
        <v/>
      </c>
      <c r="J120" s="49" t="inlineStr">
        <is>
          <t>Below target - investigate root cause and add to next month's action plan</t>
        </is>
      </c>
    </row>
    <row r="121" ht="15" customHeight="1" s="50">
      <c r="A121" s="75" t="n">
        <v>46113</v>
      </c>
      <c r="B121" s="49" t="inlineStr">
        <is>
          <t>May Eleven NZ</t>
        </is>
      </c>
      <c r="C121" s="49" t="inlineStr">
        <is>
          <t>Dock to Stock</t>
        </is>
      </c>
      <c r="E121" s="76" t="n">
        <v>0.95</v>
      </c>
      <c r="F121" s="49" t="n">
        <v>1</v>
      </c>
      <c r="G121" s="49" t="n">
        <v>1</v>
      </c>
      <c r="H121" s="76">
        <f>F148/G148</f>
        <v/>
      </c>
      <c r="I121" s="49">
        <f>IF(H148&gt;=E148,"Yes","No")</f>
        <v/>
      </c>
    </row>
    <row r="122" ht="15" customHeight="1" s="50">
      <c r="A122" s="75" t="n">
        <v>46113</v>
      </c>
      <c r="B122" s="49" t="inlineStr">
        <is>
          <t>Oricom</t>
        </is>
      </c>
      <c r="C122" s="49" t="inlineStr">
        <is>
          <t>Dock to Stock</t>
        </is>
      </c>
      <c r="E122" s="76" t="n">
        <v>0.95</v>
      </c>
      <c r="F122" s="49" t="n">
        <v>5</v>
      </c>
      <c r="G122" s="49" t="n">
        <v>7</v>
      </c>
      <c r="H122" s="76">
        <f>F149/G149</f>
        <v/>
      </c>
      <c r="I122" s="49">
        <f>IF(H149&gt;=E149,"Yes","No")</f>
        <v/>
      </c>
      <c r="J122" s="49" t="inlineStr">
        <is>
          <t>Below target - investigate root cause and add to next month's action plan</t>
        </is>
      </c>
    </row>
    <row r="123" ht="15" customHeight="1" s="50">
      <c r="A123" s="75" t="n">
        <v>46113</v>
      </c>
      <c r="B123" s="49" t="inlineStr">
        <is>
          <t>Salt Shark</t>
        </is>
      </c>
      <c r="C123" s="49" t="inlineStr">
        <is>
          <t>Dock to Stock</t>
        </is>
      </c>
      <c r="E123" s="76" t="n">
        <v>0.95</v>
      </c>
      <c r="F123" s="49" t="n">
        <v>1</v>
      </c>
      <c r="G123" s="49" t="n">
        <v>1</v>
      </c>
      <c r="H123" s="76">
        <f>F150/G150</f>
        <v/>
      </c>
      <c r="I123" s="49">
        <f>IF(H150&gt;=E150,"Yes","No")</f>
        <v/>
      </c>
    </row>
    <row r="124" ht="15" customHeight="1" s="50">
      <c r="A124" s="75" t="n">
        <v>46113</v>
      </c>
      <c r="B124" s="49" t="inlineStr">
        <is>
          <t>Vixxen</t>
        </is>
      </c>
      <c r="C124" s="49" t="inlineStr">
        <is>
          <t>Dock to Stock</t>
        </is>
      </c>
      <c r="E124" s="76" t="n">
        <v>0.95</v>
      </c>
      <c r="F124" s="49" t="n">
        <v>2</v>
      </c>
      <c r="G124" s="49" t="n">
        <v>2</v>
      </c>
      <c r="H124" s="76">
        <f>F151/G151</f>
        <v/>
      </c>
      <c r="I124" s="49">
        <f>IF(H151&gt;=E151,"Yes","No")</f>
        <v/>
      </c>
    </row>
    <row r="125" ht="15" customHeight="1" s="50">
      <c r="A125" s="75" t="n">
        <v>46113</v>
      </c>
      <c r="B125" s="49" t="inlineStr">
        <is>
          <t>Aleger Studio</t>
        </is>
      </c>
      <c r="C125" s="49" t="inlineStr">
        <is>
          <t>Order Cut Off</t>
        </is>
      </c>
      <c r="E125" s="76" t="n">
        <v>0.95</v>
      </c>
      <c r="F125" s="49" t="n">
        <v>6</v>
      </c>
      <c r="G125" s="49" t="n">
        <v>6</v>
      </c>
      <c r="H125" s="76">
        <f>F152/G152</f>
        <v/>
      </c>
      <c r="I125" s="49">
        <f>IF(H152&gt;=E152,"Yes","No")</f>
        <v/>
      </c>
    </row>
    <row r="126" ht="15" customHeight="1" s="50">
      <c r="A126" s="75" t="n">
        <v>46113</v>
      </c>
      <c r="B126" s="49" t="inlineStr">
        <is>
          <t>Coromandel Mountains Company Limited</t>
        </is>
      </c>
      <c r="C126" s="49" t="inlineStr">
        <is>
          <t>Order Cut Off</t>
        </is>
      </c>
      <c r="E126" s="76" t="n">
        <v>0.95</v>
      </c>
      <c r="F126" s="49" t="n">
        <v>1</v>
      </c>
      <c r="G126" s="49" t="n">
        <v>10</v>
      </c>
      <c r="H126" s="76">
        <f>F153/G153</f>
        <v/>
      </c>
      <c r="I126" s="49">
        <f>IF(H153&gt;=E153,"Yes","No")</f>
        <v/>
      </c>
      <c r="J126" s="49" t="inlineStr">
        <is>
          <t>Below target - investigate root cause and add to next month's action plan</t>
        </is>
      </c>
    </row>
    <row r="127" ht="15" customHeight="1" s="50">
      <c r="A127" s="75" t="n">
        <v>46113</v>
      </c>
      <c r="B127" s="49" t="inlineStr">
        <is>
          <t>Interior Images</t>
        </is>
      </c>
      <c r="C127" s="49" t="inlineStr">
        <is>
          <t>Order Cut Off</t>
        </is>
      </c>
      <c r="E127" s="76" t="n">
        <v>0.95</v>
      </c>
      <c r="F127" s="49" t="n">
        <v>0</v>
      </c>
      <c r="G127" s="49" t="n">
        <v>1</v>
      </c>
      <c r="H127" s="76">
        <f>F154/G154</f>
        <v/>
      </c>
      <c r="I127" s="49">
        <f>IF(H154&gt;=E154,"Yes","No")</f>
        <v/>
      </c>
      <c r="J127" s="49" t="inlineStr">
        <is>
          <t>Below target - investigate root cause and add to next month's action plan</t>
        </is>
      </c>
    </row>
    <row r="128" ht="15" customHeight="1" s="50">
      <c r="A128" s="75" t="n">
        <v>46113</v>
      </c>
      <c r="B128" s="49" t="inlineStr">
        <is>
          <t>Jock Freight - SECA</t>
        </is>
      </c>
      <c r="C128" s="49" t="inlineStr">
        <is>
          <t>Order Cut Off</t>
        </is>
      </c>
      <c r="E128" s="76" t="n">
        <v>0.95</v>
      </c>
      <c r="F128" s="49" t="n">
        <v>7</v>
      </c>
      <c r="G128" s="49" t="n">
        <v>15</v>
      </c>
      <c r="H128" s="76">
        <f>F155/G155</f>
        <v/>
      </c>
      <c r="I128" s="49">
        <f>IF(H155&gt;=E155,"Yes","No")</f>
        <v/>
      </c>
      <c r="J128" s="49" t="inlineStr">
        <is>
          <t>Below target - investigate root cause and add to next month's action plan</t>
        </is>
      </c>
    </row>
    <row r="129" ht="15" customHeight="1" s="50">
      <c r="A129" s="75" t="n">
        <v>46113</v>
      </c>
      <c r="B129" s="49" t="inlineStr">
        <is>
          <t>May Eleven NZ</t>
        </is>
      </c>
      <c r="C129" s="49" t="inlineStr">
        <is>
          <t>Order Cut Off</t>
        </is>
      </c>
      <c r="E129" s="76" t="n">
        <v>0.95</v>
      </c>
      <c r="F129" s="49" t="n">
        <v>1</v>
      </c>
      <c r="G129" s="49" t="n">
        <v>1</v>
      </c>
      <c r="H129" s="76">
        <f>F156/G156</f>
        <v/>
      </c>
      <c r="I129" s="49">
        <f>IF(H156&gt;=E156,"Yes","No")</f>
        <v/>
      </c>
    </row>
    <row r="130" ht="15" customHeight="1" s="50">
      <c r="A130" s="75" t="n">
        <v>46113</v>
      </c>
      <c r="B130" s="49" t="inlineStr">
        <is>
          <t>Oricom</t>
        </is>
      </c>
      <c r="C130" s="49" t="inlineStr">
        <is>
          <t>Order Cut Off</t>
        </is>
      </c>
      <c r="E130" s="76" t="n">
        <v>0.95</v>
      </c>
      <c r="F130" s="49" t="n">
        <v>15</v>
      </c>
      <c r="G130" s="49" t="n">
        <v>19</v>
      </c>
      <c r="H130" s="76">
        <f>F157/G157</f>
        <v/>
      </c>
      <c r="I130" s="49">
        <f>IF(H157&gt;=E157,"Yes","No")</f>
        <v/>
      </c>
      <c r="J130" s="49" t="inlineStr">
        <is>
          <t>Below target - investigate root cause and add to next month's action plan</t>
        </is>
      </c>
    </row>
    <row r="131" ht="15" customHeight="1" s="50">
      <c r="A131" s="75" t="n">
        <v>46113</v>
      </c>
      <c r="B131" s="49" t="inlineStr">
        <is>
          <t>Salt Shark</t>
        </is>
      </c>
      <c r="C131" s="49" t="inlineStr">
        <is>
          <t>Order Cut Off</t>
        </is>
      </c>
      <c r="E131" s="76" t="n">
        <v>0.95</v>
      </c>
      <c r="F131" s="49" t="n">
        <v>45</v>
      </c>
      <c r="G131" s="49" t="n">
        <v>59</v>
      </c>
      <c r="H131" s="76">
        <f>F158/G158</f>
        <v/>
      </c>
      <c r="I131" s="49">
        <f>IF(H158&gt;=E158,"Yes","No")</f>
        <v/>
      </c>
      <c r="J131" s="49" t="inlineStr">
        <is>
          <t>Below target - investigate root cause and add to next month's action plan</t>
        </is>
      </c>
    </row>
    <row r="132" ht="15" customHeight="1" s="50">
      <c r="A132" s="75" t="n">
        <v>46113</v>
      </c>
      <c r="B132" s="49" t="inlineStr">
        <is>
          <t>Vixxen</t>
        </is>
      </c>
      <c r="C132" s="49" t="inlineStr">
        <is>
          <t>Order Cut Off</t>
        </is>
      </c>
      <c r="E132" s="76" t="n">
        <v>0.95</v>
      </c>
      <c r="F132" s="49" t="n">
        <v>13</v>
      </c>
      <c r="G132" s="49" t="n">
        <v>16</v>
      </c>
      <c r="H132" s="76">
        <f>F159/G159</f>
        <v/>
      </c>
      <c r="I132" s="49">
        <f>IF(H159&gt;=E159,"Yes","No")</f>
        <v/>
      </c>
      <c r="J132" s="49" t="inlineStr">
        <is>
          <t>Below target - investigate root cause and add to next month's action plan</t>
        </is>
      </c>
    </row>
    <row r="133" ht="15" customHeight="1" s="50">
      <c r="A133" s="75" t="n">
        <v>46174</v>
      </c>
      <c r="B133" s="49" t="inlineStr">
        <is>
          <t>Aleger Studio</t>
        </is>
      </c>
      <c r="C133" s="49" t="inlineStr">
        <is>
          <t>Dock to Stock</t>
        </is>
      </c>
      <c r="E133" s="76" t="n">
        <v>0.95</v>
      </c>
      <c r="F133" s="49" t="n">
        <v>1</v>
      </c>
      <c r="G133" s="49" t="n">
        <v>2</v>
      </c>
      <c r="H133" s="76">
        <f>F133/G133</f>
        <v/>
      </c>
      <c r="I133" s="49">
        <f>IF(H133&gt;=E133,"Yes","No")</f>
        <v/>
      </c>
      <c r="J133" s="49" t="inlineStr">
        <is>
          <t>Below target - investigate root cause and add to next month's action plan</t>
        </is>
      </c>
    </row>
    <row r="134" ht="15" customHeight="1" s="50">
      <c r="A134" s="75" t="n">
        <v>46174</v>
      </c>
      <c r="B134" s="49" t="inlineStr">
        <is>
          <t>Cotton Soft  - Christchurch</t>
        </is>
      </c>
      <c r="C134" s="49" t="inlineStr">
        <is>
          <t>Dock to Stock</t>
        </is>
      </c>
      <c r="E134" s="76" t="n">
        <v>0.95</v>
      </c>
      <c r="F134" s="49" t="n">
        <v>2</v>
      </c>
      <c r="G134" s="49" t="n">
        <v>2</v>
      </c>
      <c r="H134" s="76">
        <f>F134/G134</f>
        <v/>
      </c>
      <c r="I134" s="49">
        <f>IF(H134&gt;=E134,"Yes","No")</f>
        <v/>
      </c>
    </row>
    <row r="135" ht="15" customHeight="1" s="50">
      <c r="A135" s="75" t="n">
        <v>46174</v>
      </c>
      <c r="B135" s="49" t="inlineStr">
        <is>
          <t>Flo &amp; Frankie</t>
        </is>
      </c>
      <c r="C135" s="49" t="inlineStr">
        <is>
          <t>Dock to Stock</t>
        </is>
      </c>
      <c r="E135" s="76" t="n">
        <v>0.95</v>
      </c>
      <c r="F135" s="49" t="n">
        <v>9</v>
      </c>
      <c r="G135" s="49" t="n">
        <v>9</v>
      </c>
      <c r="H135" s="76">
        <f>F135/G135</f>
        <v/>
      </c>
      <c r="I135" s="49">
        <f>IF(H135&gt;=E135,"Yes","No")</f>
        <v/>
      </c>
    </row>
    <row r="136" ht="15" customHeight="1" s="50">
      <c r="A136" s="75" t="n">
        <v>46174</v>
      </c>
      <c r="B136" s="49" t="inlineStr">
        <is>
          <t>Gym Equip</t>
        </is>
      </c>
      <c r="C136" s="49" t="inlineStr">
        <is>
          <t>Dock to Stock</t>
        </is>
      </c>
      <c r="E136" s="76" t="n">
        <v>0.95</v>
      </c>
      <c r="F136" s="49" t="n">
        <v>0</v>
      </c>
      <c r="G136" s="49" t="n">
        <v>1</v>
      </c>
      <c r="H136" s="76">
        <f>F136/G136</f>
        <v/>
      </c>
      <c r="I136" s="49">
        <f>IF(H136&gt;=E136,"Yes","No")</f>
        <v/>
      </c>
      <c r="J136" s="49" t="inlineStr">
        <is>
          <t>Below target - investigate root cause and add to next month's action plan</t>
        </is>
      </c>
    </row>
    <row r="137" ht="15" customHeight="1" s="50">
      <c r="A137" s="75" t="n">
        <v>46174</v>
      </c>
      <c r="B137" s="49" t="inlineStr">
        <is>
          <t>Interior Images</t>
        </is>
      </c>
      <c r="C137" s="49" t="inlineStr">
        <is>
          <t>Dock to Stock</t>
        </is>
      </c>
      <c r="E137" s="76" t="n">
        <v>0.95</v>
      </c>
      <c r="F137" s="49" t="n">
        <v>3</v>
      </c>
      <c r="G137" s="49" t="n">
        <v>3</v>
      </c>
      <c r="H137" s="76">
        <f>F137/G137</f>
        <v/>
      </c>
      <c r="I137" s="49">
        <f>IF(H137&gt;=E137,"Yes","No")</f>
        <v/>
      </c>
    </row>
    <row r="138" ht="15" customHeight="1" s="50">
      <c r="A138" s="75" t="n">
        <v>46174</v>
      </c>
      <c r="B138" s="49" t="inlineStr">
        <is>
          <t>Jock Freight - SECA</t>
        </is>
      </c>
      <c r="C138" s="49" t="inlineStr">
        <is>
          <t>Dock to Stock</t>
        </is>
      </c>
      <c r="E138" s="76" t="n">
        <v>0.95</v>
      </c>
      <c r="F138" s="49" t="n">
        <v>1</v>
      </c>
      <c r="G138" s="49" t="n">
        <v>1</v>
      </c>
      <c r="H138" s="76">
        <f>F138/G138</f>
        <v/>
      </c>
      <c r="I138" s="49">
        <f>IF(H138&gt;=E138,"Yes","No")</f>
        <v/>
      </c>
    </row>
    <row r="139" ht="15" customHeight="1" s="50">
      <c r="A139" s="75" t="n">
        <v>46174</v>
      </c>
      <c r="B139" s="49" t="inlineStr">
        <is>
          <t>Logwin - Sikla</t>
        </is>
      </c>
      <c r="C139" s="49" t="inlineStr">
        <is>
          <t>Dock to Stock</t>
        </is>
      </c>
      <c r="E139" s="76" t="n">
        <v>0.95</v>
      </c>
      <c r="F139" s="49" t="n">
        <v>4</v>
      </c>
      <c r="G139" s="49" t="n">
        <v>4</v>
      </c>
      <c r="H139" s="76">
        <f>F139/G139</f>
        <v/>
      </c>
      <c r="I139" s="49">
        <f>IF(H139&gt;=E139,"Yes","No")</f>
        <v/>
      </c>
    </row>
    <row r="140" ht="15" customHeight="1" s="50">
      <c r="A140" s="75" t="n">
        <v>46174</v>
      </c>
      <c r="B140" s="49" t="inlineStr">
        <is>
          <t>Made Group NZ</t>
        </is>
      </c>
      <c r="C140" s="49" t="inlineStr">
        <is>
          <t>Dock to Stock</t>
        </is>
      </c>
      <c r="E140" s="76" t="n">
        <v>0.95</v>
      </c>
      <c r="F140" s="49" t="n">
        <v>11</v>
      </c>
      <c r="G140" s="49" t="n">
        <v>11</v>
      </c>
      <c r="H140" s="76">
        <f>F140/G140</f>
        <v/>
      </c>
      <c r="I140" s="49">
        <f>IF(H140&gt;=E140,"Yes","No")</f>
        <v/>
      </c>
    </row>
    <row r="141" ht="15" customHeight="1" s="50">
      <c r="A141" s="75" t="n">
        <v>46174</v>
      </c>
      <c r="B141" s="49" t="inlineStr">
        <is>
          <t>Oricom</t>
        </is>
      </c>
      <c r="C141" s="49" t="inlineStr">
        <is>
          <t>Dock to Stock</t>
        </is>
      </c>
      <c r="E141" s="76" t="n">
        <v>0.95</v>
      </c>
      <c r="F141" s="49" t="n">
        <v>5</v>
      </c>
      <c r="G141" s="49" t="n">
        <v>6</v>
      </c>
      <c r="H141" s="76">
        <f>F141/G141</f>
        <v/>
      </c>
      <c r="I141" s="49">
        <f>IF(H141&gt;=E141,"Yes","No")</f>
        <v/>
      </c>
      <c r="J141" s="49" t="inlineStr">
        <is>
          <t>Below target - investigate root cause and add to next month's action plan</t>
        </is>
      </c>
    </row>
    <row r="142" ht="15" customHeight="1" s="50">
      <c r="A142" s="75" t="n">
        <v>46174</v>
      </c>
      <c r="B142" s="49" t="inlineStr">
        <is>
          <t>Purify Me</t>
        </is>
      </c>
      <c r="C142" s="49" t="inlineStr">
        <is>
          <t>Dock to Stock</t>
        </is>
      </c>
      <c r="E142" s="76" t="n">
        <v>0.95</v>
      </c>
      <c r="F142" s="49" t="n">
        <v>2</v>
      </c>
      <c r="G142" s="49" t="n">
        <v>2</v>
      </c>
      <c r="H142" s="76">
        <f>F142/G142</f>
        <v/>
      </c>
      <c r="I142" s="49">
        <f>IF(H142&gt;=E142,"Yes","No")</f>
        <v/>
      </c>
    </row>
    <row r="143" ht="15" customHeight="1" s="50">
      <c r="A143" s="75" t="n">
        <v>46174</v>
      </c>
      <c r="B143" s="49" t="inlineStr">
        <is>
          <t>Salt Shark</t>
        </is>
      </c>
      <c r="C143" s="49" t="inlineStr">
        <is>
          <t>Dock to Stock</t>
        </is>
      </c>
      <c r="E143" s="76" t="n">
        <v>0.95</v>
      </c>
      <c r="F143" s="49" t="n">
        <v>1</v>
      </c>
      <c r="G143" s="49" t="n">
        <v>1</v>
      </c>
      <c r="H143" s="76">
        <f>F143/G143</f>
        <v/>
      </c>
      <c r="I143" s="49">
        <f>IF(H143&gt;=E143,"Yes","No")</f>
        <v/>
      </c>
    </row>
    <row r="144" ht="15" customHeight="1" s="50">
      <c r="A144" s="75" t="n">
        <v>46174</v>
      </c>
      <c r="B144" s="49" t="inlineStr">
        <is>
          <t>Stryx</t>
        </is>
      </c>
      <c r="C144" s="49" t="inlineStr">
        <is>
          <t>Dock to Stock</t>
        </is>
      </c>
      <c r="E144" s="76" t="n">
        <v>0.95</v>
      </c>
      <c r="F144" s="49" t="n">
        <v>1</v>
      </c>
      <c r="G144" s="49" t="n">
        <v>1</v>
      </c>
      <c r="H144" s="76">
        <f>F144/G144</f>
        <v/>
      </c>
      <c r="I144" s="49">
        <f>IF(H144&gt;=E144,"Yes","No")</f>
        <v/>
      </c>
    </row>
    <row r="145" ht="15" customHeight="1" s="50">
      <c r="A145" s="75" t="n">
        <v>46174</v>
      </c>
      <c r="B145" s="49" t="inlineStr">
        <is>
          <t>Vixxen</t>
        </is>
      </c>
      <c r="C145" s="49" t="inlineStr">
        <is>
          <t>Dock to Stock</t>
        </is>
      </c>
      <c r="E145" s="76" t="n">
        <v>0.95</v>
      </c>
      <c r="F145" s="49" t="n">
        <v>2</v>
      </c>
      <c r="G145" s="49" t="n">
        <v>2</v>
      </c>
      <c r="H145" s="76">
        <f>F145/G145</f>
        <v/>
      </c>
      <c r="I145" s="49">
        <f>IF(H145&gt;=E145,"Yes","No")</f>
        <v/>
      </c>
    </row>
    <row r="146" ht="15" customHeight="1" s="50">
      <c r="A146" s="75" t="n">
        <v>46174</v>
      </c>
      <c r="B146" s="49" t="inlineStr">
        <is>
          <t>Aleger Studio</t>
        </is>
      </c>
      <c r="C146" s="49" t="inlineStr">
        <is>
          <t>Order Cut Off</t>
        </is>
      </c>
      <c r="E146" s="76" t="n">
        <v>0.95</v>
      </c>
      <c r="F146" s="49" t="n">
        <v>6</v>
      </c>
      <c r="G146" s="49" t="n">
        <v>6</v>
      </c>
      <c r="H146" s="76">
        <f>F146/G146</f>
        <v/>
      </c>
      <c r="I146" s="49">
        <f>IF(H146&gt;=E146,"Yes","No")</f>
        <v/>
      </c>
    </row>
    <row r="147" ht="15" customHeight="1" s="50">
      <c r="A147" s="75" t="n">
        <v>46174</v>
      </c>
      <c r="B147" s="49" t="inlineStr">
        <is>
          <t>Coromandel Mountains Company Limited</t>
        </is>
      </c>
      <c r="C147" s="49" t="inlineStr">
        <is>
          <t>Order Cut Off</t>
        </is>
      </c>
      <c r="E147" s="76" t="n">
        <v>0.95</v>
      </c>
      <c r="F147" s="49" t="n">
        <v>65</v>
      </c>
      <c r="G147" s="49" t="n">
        <v>85</v>
      </c>
      <c r="H147" s="76">
        <f>F147/G147</f>
        <v/>
      </c>
      <c r="I147" s="49">
        <f>IF(H147&gt;=E147,"Yes","No")</f>
        <v/>
      </c>
      <c r="J147" s="49" t="inlineStr">
        <is>
          <t>Below target - investigate root cause and add to next month's action plan</t>
        </is>
      </c>
    </row>
    <row r="148" ht="15" customHeight="1" s="50">
      <c r="A148" s="75" t="n">
        <v>46174</v>
      </c>
      <c r="B148" s="49" t="inlineStr">
        <is>
          <t>Flo &amp; Frankie</t>
        </is>
      </c>
      <c r="C148" s="49" t="inlineStr">
        <is>
          <t>Order Cut Off</t>
        </is>
      </c>
      <c r="E148" s="76" t="n">
        <v>0.95</v>
      </c>
      <c r="F148" s="49" t="n">
        <v>4</v>
      </c>
      <c r="G148" s="49" t="n">
        <v>4</v>
      </c>
      <c r="H148" s="76">
        <f>F148/G148</f>
        <v/>
      </c>
      <c r="I148" s="49">
        <f>IF(H148&gt;=E148,"Yes","No")</f>
        <v/>
      </c>
    </row>
    <row r="149" ht="15" customHeight="1" s="50">
      <c r="A149" s="75" t="n">
        <v>46174</v>
      </c>
      <c r="B149" s="49" t="inlineStr">
        <is>
          <t>Gym Equip</t>
        </is>
      </c>
      <c r="C149" s="49" t="inlineStr">
        <is>
          <t>Order Cut Off</t>
        </is>
      </c>
      <c r="E149" s="76" t="n">
        <v>0.95</v>
      </c>
      <c r="F149" s="49" t="n">
        <v>2</v>
      </c>
      <c r="G149" s="49" t="n">
        <v>9</v>
      </c>
      <c r="H149" s="76">
        <f>F149/G149</f>
        <v/>
      </c>
      <c r="I149" s="49">
        <f>IF(H149&gt;=E149,"Yes","No")</f>
        <v/>
      </c>
      <c r="J149" s="49" t="inlineStr">
        <is>
          <t>Below target - investigate root cause and add to next month's action plan</t>
        </is>
      </c>
    </row>
    <row r="150" ht="15" customHeight="1" s="50">
      <c r="A150" s="75" t="n">
        <v>46174</v>
      </c>
      <c r="B150" s="49" t="inlineStr">
        <is>
          <t>Interior Images</t>
        </is>
      </c>
      <c r="C150" s="49" t="inlineStr">
        <is>
          <t>Order Cut Off</t>
        </is>
      </c>
      <c r="E150" s="76" t="n">
        <v>0.95</v>
      </c>
      <c r="F150" s="49" t="n">
        <v>2</v>
      </c>
      <c r="G150" s="49" t="n">
        <v>6</v>
      </c>
      <c r="H150" s="76">
        <f>F150/G150</f>
        <v/>
      </c>
      <c r="I150" s="49">
        <f>IF(H150&gt;=E150,"Yes","No")</f>
        <v/>
      </c>
      <c r="J150" s="49" t="inlineStr">
        <is>
          <t>Below target - investigate root cause and add to next month's action plan</t>
        </is>
      </c>
    </row>
    <row r="151" ht="15" customHeight="1" s="50">
      <c r="A151" s="75" t="n">
        <v>46174</v>
      </c>
      <c r="B151" s="49" t="inlineStr">
        <is>
          <t>Jock Freight - SECA</t>
        </is>
      </c>
      <c r="C151" s="49" t="inlineStr">
        <is>
          <t>Order Cut Off</t>
        </is>
      </c>
      <c r="E151" s="76" t="n">
        <v>0.95</v>
      </c>
      <c r="F151" s="49" t="n">
        <v>5</v>
      </c>
      <c r="G151" s="49" t="n">
        <v>15</v>
      </c>
      <c r="H151" s="76">
        <f>F151/G151</f>
        <v/>
      </c>
      <c r="I151" s="49">
        <f>IF(H151&gt;=E151,"Yes","No")</f>
        <v/>
      </c>
      <c r="J151" s="49" t="inlineStr">
        <is>
          <t>Below target - investigate root cause and add to next month's action plan</t>
        </is>
      </c>
    </row>
    <row r="152" ht="15" customHeight="1" s="50">
      <c r="A152" s="75" t="n">
        <v>46174</v>
      </c>
      <c r="B152" s="49" t="inlineStr">
        <is>
          <t>Logwin - Sikla</t>
        </is>
      </c>
      <c r="C152" s="49" t="inlineStr">
        <is>
          <t>Order Cut Off</t>
        </is>
      </c>
      <c r="E152" s="76" t="n">
        <v>0.95</v>
      </c>
      <c r="F152" s="49" t="n">
        <v>1</v>
      </c>
      <c r="G152" s="49" t="n">
        <v>8</v>
      </c>
      <c r="H152" s="76">
        <f>F152/G152</f>
        <v/>
      </c>
      <c r="I152" s="49">
        <f>IF(H152&gt;=E152,"Yes","No")</f>
        <v/>
      </c>
      <c r="J152" s="49" t="inlineStr">
        <is>
          <t>Below target - investigate root cause and add to next month's action plan</t>
        </is>
      </c>
    </row>
    <row r="153" ht="15" customHeight="1" s="50">
      <c r="A153" s="75" t="n">
        <v>46174</v>
      </c>
      <c r="B153" s="49" t="inlineStr">
        <is>
          <t>Made Group NZ</t>
        </is>
      </c>
      <c r="C153" s="49" t="inlineStr">
        <is>
          <t>Order Cut Off</t>
        </is>
      </c>
      <c r="E153" s="76" t="n">
        <v>0.95</v>
      </c>
      <c r="F153" s="49" t="n">
        <v>2</v>
      </c>
      <c r="G153" s="49" t="n">
        <v>2</v>
      </c>
      <c r="H153" s="76">
        <f>F153/G153</f>
        <v/>
      </c>
      <c r="I153" s="49">
        <f>IF(H153&gt;=E153,"Yes","No")</f>
        <v/>
      </c>
    </row>
    <row r="154" ht="15" customHeight="1" s="50">
      <c r="A154" s="75" t="n">
        <v>46174</v>
      </c>
      <c r="B154" s="49" t="inlineStr">
        <is>
          <t>Oricom</t>
        </is>
      </c>
      <c r="C154" s="49" t="inlineStr">
        <is>
          <t>Order Cut Off</t>
        </is>
      </c>
      <c r="E154" s="76" t="n">
        <v>0.95</v>
      </c>
      <c r="F154" s="49" t="n">
        <v>130</v>
      </c>
      <c r="G154" s="49" t="n">
        <v>152</v>
      </c>
      <c r="H154" s="76">
        <f>F154/G154</f>
        <v/>
      </c>
      <c r="I154" s="49">
        <f>IF(H154&gt;=E154,"Yes","No")</f>
        <v/>
      </c>
      <c r="J154" s="49" t="inlineStr">
        <is>
          <t>Below target - investigate root cause and add to next month's action plan</t>
        </is>
      </c>
    </row>
    <row r="155" ht="15" customHeight="1" s="50">
      <c r="A155" s="75" t="n">
        <v>46174</v>
      </c>
      <c r="B155" s="49" t="inlineStr">
        <is>
          <t>Purify Me</t>
        </is>
      </c>
      <c r="C155" s="49" t="inlineStr">
        <is>
          <t>Order Cut Off</t>
        </is>
      </c>
      <c r="E155" s="76" t="n">
        <v>0.95</v>
      </c>
      <c r="F155" s="49" t="n">
        <v>24</v>
      </c>
      <c r="G155" s="49" t="n">
        <v>30</v>
      </c>
      <c r="H155" s="76">
        <f>F155/G155</f>
        <v/>
      </c>
      <c r="I155" s="49">
        <f>IF(H155&gt;=E155,"Yes","No")</f>
        <v/>
      </c>
      <c r="J155" s="49" t="inlineStr">
        <is>
          <t>Below target - investigate root cause and add to next month's action plan</t>
        </is>
      </c>
    </row>
    <row r="156" ht="15" customHeight="1" s="50">
      <c r="A156" s="75" t="n">
        <v>46174</v>
      </c>
      <c r="B156" s="49" t="inlineStr">
        <is>
          <t>Salt Shark</t>
        </is>
      </c>
      <c r="C156" s="49" t="inlineStr">
        <is>
          <t>Order Cut Off</t>
        </is>
      </c>
      <c r="E156" s="76" t="n">
        <v>0.95</v>
      </c>
      <c r="F156" s="49" t="n">
        <v>33</v>
      </c>
      <c r="G156" s="49" t="n">
        <v>53</v>
      </c>
      <c r="H156" s="76">
        <f>F156/G156</f>
        <v/>
      </c>
      <c r="I156" s="49">
        <f>IF(H156&gt;=E156,"Yes","No")</f>
        <v/>
      </c>
      <c r="J156" s="49" t="inlineStr">
        <is>
          <t>Below target - investigate root cause and add to next month's action plan</t>
        </is>
      </c>
    </row>
    <row r="157" ht="15" customHeight="1" s="50">
      <c r="A157" s="75" t="n">
        <v>46174</v>
      </c>
      <c r="B157" s="49" t="inlineStr">
        <is>
          <t>Stryx</t>
        </is>
      </c>
      <c r="C157" s="49" t="inlineStr">
        <is>
          <t>Order Cut Off</t>
        </is>
      </c>
      <c r="E157" s="76" t="n">
        <v>0.95</v>
      </c>
      <c r="F157" s="49" t="n">
        <v>22</v>
      </c>
      <c r="G157" s="49" t="n">
        <v>22</v>
      </c>
      <c r="H157" s="76">
        <f>F157/G157</f>
        <v/>
      </c>
      <c r="I157" s="49">
        <f>IF(H157&gt;=E157,"Yes","No")</f>
        <v/>
      </c>
    </row>
    <row r="158" ht="15" customHeight="1" s="50">
      <c r="A158" s="75" t="n">
        <v>46174</v>
      </c>
      <c r="B158" s="49" t="inlineStr">
        <is>
          <t>Vixxen</t>
        </is>
      </c>
      <c r="C158" s="49" t="inlineStr">
        <is>
          <t>Order Cut Off</t>
        </is>
      </c>
      <c r="E158" s="76" t="n">
        <v>0.95</v>
      </c>
      <c r="F158" s="49" t="n">
        <v>324</v>
      </c>
      <c r="G158" s="49" t="n">
        <v>331</v>
      </c>
      <c r="H158" s="76">
        <f>F158/G158</f>
        <v/>
      </c>
      <c r="I158" s="49">
        <f>IF(H158&gt;=E158,"Yes","No")</f>
        <v/>
      </c>
    </row>
    <row r="159" ht="15" customHeight="1" s="50">
      <c r="A159" s="75" t="n">
        <v>46204</v>
      </c>
      <c r="B159" s="49" t="inlineStr">
        <is>
          <t>Aleger Studio</t>
        </is>
      </c>
      <c r="C159" s="49" t="inlineStr">
        <is>
          <t>Dock to Stock</t>
        </is>
      </c>
      <c r="E159" s="76" t="n">
        <v>0.95</v>
      </c>
      <c r="F159" s="49" t="n">
        <v>1</v>
      </c>
      <c r="G159" s="49" t="n">
        <v>2</v>
      </c>
      <c r="H159" s="76">
        <f>F169/G169</f>
        <v/>
      </c>
      <c r="I159" s="49">
        <f>IF(H169&gt;=E169,"Yes","No")</f>
        <v/>
      </c>
      <c r="J159" s="49" t="inlineStr">
        <is>
          <t>Below target - investigate root cause and add to next month's action plan</t>
        </is>
      </c>
    </row>
    <row r="160" ht="15" customHeight="1" s="50">
      <c r="A160" s="75" t="n">
        <v>46204</v>
      </c>
      <c r="B160" s="49" t="inlineStr">
        <is>
          <t>Baking Tech</t>
        </is>
      </c>
      <c r="C160" s="49" t="inlineStr">
        <is>
          <t>Dock to Stock</t>
        </is>
      </c>
      <c r="E160" s="76" t="n">
        <v>0.95</v>
      </c>
      <c r="F160" s="49" t="n">
        <v>0</v>
      </c>
      <c r="G160" s="49" t="n">
        <v>1</v>
      </c>
      <c r="H160" s="76">
        <f>F170/G170</f>
        <v/>
      </c>
      <c r="I160" s="49">
        <f>IF(H170&gt;=E170,"Yes","No")</f>
        <v/>
      </c>
      <c r="J160" s="49" t="inlineStr">
        <is>
          <t>Below target - investigate root cause and add to next month's action plan</t>
        </is>
      </c>
    </row>
    <row r="161" ht="15" customHeight="1" s="50">
      <c r="A161" s="75" t="n">
        <v>46204</v>
      </c>
      <c r="B161" s="49" t="inlineStr">
        <is>
          <t>Coromandel Mountains Company Limited</t>
        </is>
      </c>
      <c r="C161" s="49" t="inlineStr">
        <is>
          <t>Dock to Stock</t>
        </is>
      </c>
      <c r="E161" s="76" t="n">
        <v>0.95</v>
      </c>
      <c r="F161" s="49" t="n">
        <v>3</v>
      </c>
      <c r="G161" s="49" t="n">
        <v>4</v>
      </c>
      <c r="H161" s="76">
        <f>F171/G171</f>
        <v/>
      </c>
      <c r="I161" s="49">
        <f>IF(H171&gt;=E171,"Yes","No")</f>
        <v/>
      </c>
      <c r="J161" s="49" t="inlineStr">
        <is>
          <t>Below target - investigate root cause and add to next month's action plan</t>
        </is>
      </c>
    </row>
    <row r="162" ht="15" customHeight="1" s="50">
      <c r="A162" s="75" t="n">
        <v>46204</v>
      </c>
      <c r="B162" s="49" t="inlineStr">
        <is>
          <t>EcoPallets</t>
        </is>
      </c>
      <c r="C162" s="49" t="inlineStr">
        <is>
          <t>Dock to Stock</t>
        </is>
      </c>
      <c r="E162" s="76" t="n">
        <v>0.95</v>
      </c>
      <c r="F162" s="49" t="n">
        <v>0</v>
      </c>
      <c r="G162" s="49" t="n">
        <v>1</v>
      </c>
      <c r="H162" s="76">
        <f>F172/G172</f>
        <v/>
      </c>
      <c r="I162" s="49">
        <f>IF(H172&gt;=E172,"Yes","No")</f>
        <v/>
      </c>
      <c r="J162" s="49" t="inlineStr">
        <is>
          <t>Below target - investigate root cause and add to next month's action plan</t>
        </is>
      </c>
    </row>
    <row r="163" ht="15" customHeight="1" s="50">
      <c r="A163" s="75" t="n">
        <v>46204</v>
      </c>
      <c r="B163" s="49" t="inlineStr">
        <is>
          <t>Flo &amp; Frankie</t>
        </is>
      </c>
      <c r="C163" s="49" t="inlineStr">
        <is>
          <t>Dock to Stock</t>
        </is>
      </c>
      <c r="E163" s="76" t="n">
        <v>0.95</v>
      </c>
      <c r="F163" s="49" t="n">
        <v>14</v>
      </c>
      <c r="G163" s="49" t="n">
        <v>14</v>
      </c>
      <c r="H163" s="76">
        <f>F173/G173</f>
        <v/>
      </c>
      <c r="I163" s="49">
        <f>IF(H173&gt;=E173,"Yes","No")</f>
        <v/>
      </c>
    </row>
    <row r="164" ht="15" customHeight="1" s="50">
      <c r="A164" s="75" t="n">
        <v>46204</v>
      </c>
      <c r="B164" s="49" t="inlineStr">
        <is>
          <t>Geodis</t>
        </is>
      </c>
      <c r="C164" s="49" t="inlineStr">
        <is>
          <t>Dock to Stock</t>
        </is>
      </c>
      <c r="E164" s="76" t="n">
        <v>0.95</v>
      </c>
      <c r="F164" s="49" t="n">
        <v>1</v>
      </c>
      <c r="G164" s="49" t="n">
        <v>2</v>
      </c>
      <c r="H164" s="76">
        <f>F174/G174</f>
        <v/>
      </c>
      <c r="I164" s="49">
        <f>IF(H174&gt;=E174,"Yes","No")</f>
        <v/>
      </c>
      <c r="J164" s="49" t="inlineStr">
        <is>
          <t>Below target - investigate root cause and add to next month's action plan</t>
        </is>
      </c>
    </row>
    <row r="165" ht="15" customHeight="1" s="50">
      <c r="A165" s="75" t="n">
        <v>46204</v>
      </c>
      <c r="B165" s="49" t="inlineStr">
        <is>
          <t>Jock Freight - SECA</t>
        </is>
      </c>
      <c r="C165" s="49" t="inlineStr">
        <is>
          <t>Dock to Stock</t>
        </is>
      </c>
      <c r="E165" s="76" t="n">
        <v>0.95</v>
      </c>
      <c r="F165" s="49" t="n">
        <v>1</v>
      </c>
      <c r="G165" s="49" t="n">
        <v>1</v>
      </c>
      <c r="H165" s="76">
        <f>F175/G175</f>
        <v/>
      </c>
      <c r="I165" s="49">
        <f>IF(H175&gt;=E175,"Yes","No")</f>
        <v/>
      </c>
    </row>
    <row r="166" ht="15" customHeight="1" s="50">
      <c r="A166" s="75" t="n">
        <v>46204</v>
      </c>
      <c r="B166" s="49" t="inlineStr">
        <is>
          <t>Logwin - Sikla</t>
        </is>
      </c>
      <c r="C166" s="49" t="inlineStr">
        <is>
          <t>Dock to Stock</t>
        </is>
      </c>
      <c r="E166" s="76" t="n">
        <v>0.95</v>
      </c>
      <c r="F166" s="49" t="n">
        <v>5</v>
      </c>
      <c r="G166" s="49" t="n">
        <v>5</v>
      </c>
      <c r="H166" s="76">
        <f>F176/G176</f>
        <v/>
      </c>
      <c r="I166" s="49">
        <f>IF(H176&gt;=E176,"Yes","No")</f>
        <v/>
      </c>
    </row>
    <row r="167" ht="15" customHeight="1" s="50">
      <c r="A167" s="75" t="n">
        <v>46204</v>
      </c>
      <c r="B167" s="49" t="inlineStr">
        <is>
          <t>Made Group NZ</t>
        </is>
      </c>
      <c r="C167" s="49" t="inlineStr">
        <is>
          <t>Dock to Stock</t>
        </is>
      </c>
      <c r="E167" s="76" t="n">
        <v>0.95</v>
      </c>
      <c r="F167" s="49" t="n">
        <v>15</v>
      </c>
      <c r="G167" s="49" t="n">
        <v>15</v>
      </c>
      <c r="H167" s="76">
        <f>F177/G177</f>
        <v/>
      </c>
      <c r="I167" s="49">
        <f>IF(H177&gt;=E177,"Yes","No")</f>
        <v/>
      </c>
    </row>
    <row r="168" ht="15" customHeight="1" s="50">
      <c r="A168" s="75" t="n">
        <v>46204</v>
      </c>
      <c r="B168" s="49" t="inlineStr">
        <is>
          <t>Madigan Freight Services</t>
        </is>
      </c>
      <c r="C168" s="49" t="inlineStr">
        <is>
          <t>Dock to Stock</t>
        </is>
      </c>
      <c r="E168" s="76" t="n">
        <v>0.95</v>
      </c>
      <c r="F168" s="49" t="n">
        <v>0</v>
      </c>
      <c r="G168" s="49" t="n">
        <v>1</v>
      </c>
      <c r="H168" s="76">
        <f>F178/G178</f>
        <v/>
      </c>
      <c r="I168" s="49">
        <f>IF(H178&gt;=E178,"Yes","No")</f>
        <v/>
      </c>
      <c r="J168" s="49" t="inlineStr">
        <is>
          <t>Below target - investigate root cause and add to next month's action plan</t>
        </is>
      </c>
    </row>
    <row r="169" ht="15" customHeight="1" s="50">
      <c r="A169" s="75" t="n">
        <v>46204</v>
      </c>
      <c r="B169" s="49" t="inlineStr">
        <is>
          <t>Method Global</t>
        </is>
      </c>
      <c r="C169" s="49" t="inlineStr">
        <is>
          <t>Dock to Stock</t>
        </is>
      </c>
      <c r="E169" s="76" t="n">
        <v>0.95</v>
      </c>
      <c r="F169" s="49" t="n">
        <v>0</v>
      </c>
      <c r="G169" s="49" t="n">
        <v>1</v>
      </c>
      <c r="H169" s="76">
        <f>F179/G179</f>
        <v/>
      </c>
      <c r="I169" s="49">
        <f>IF(H179&gt;=E179,"Yes","No")</f>
        <v/>
      </c>
      <c r="J169" s="49" t="inlineStr">
        <is>
          <t>Below target - investigate root cause and add to next month's action plan</t>
        </is>
      </c>
    </row>
    <row r="170" ht="15" customHeight="1" s="50">
      <c r="A170" s="75" t="n">
        <v>46204</v>
      </c>
      <c r="B170" s="49" t="inlineStr">
        <is>
          <t>Oricom</t>
        </is>
      </c>
      <c r="C170" s="49" t="inlineStr">
        <is>
          <t>Dock to Stock</t>
        </is>
      </c>
      <c r="E170" s="76" t="n">
        <v>0.95</v>
      </c>
      <c r="F170" s="49" t="n">
        <v>4</v>
      </c>
      <c r="G170" s="49" t="n">
        <v>5</v>
      </c>
      <c r="H170" s="76">
        <f>F180/G180</f>
        <v/>
      </c>
      <c r="I170" s="49">
        <f>IF(H180&gt;=E180,"Yes","No")</f>
        <v/>
      </c>
      <c r="J170" s="49" t="inlineStr">
        <is>
          <t>Below target - investigate root cause and add to next month's action plan</t>
        </is>
      </c>
    </row>
    <row r="171" ht="15" customHeight="1" s="50">
      <c r="A171" s="75" t="n">
        <v>46204</v>
      </c>
      <c r="B171" s="49" t="inlineStr">
        <is>
          <t>Purify Me</t>
        </is>
      </c>
      <c r="C171" s="49" t="inlineStr">
        <is>
          <t>Dock to Stock</t>
        </is>
      </c>
      <c r="E171" s="76" t="n">
        <v>0.95</v>
      </c>
      <c r="F171" s="49" t="n">
        <v>1</v>
      </c>
      <c r="G171" s="49" t="n">
        <v>1</v>
      </c>
      <c r="H171" s="76">
        <f>F181/G181</f>
        <v/>
      </c>
      <c r="I171" s="49">
        <f>IF(H181&gt;=E181,"Yes","No")</f>
        <v/>
      </c>
    </row>
    <row r="172" ht="15" customHeight="1" s="50">
      <c r="A172" s="75" t="n">
        <v>46204</v>
      </c>
      <c r="B172" s="49" t="inlineStr">
        <is>
          <t>Salt Shark</t>
        </is>
      </c>
      <c r="C172" s="49" t="inlineStr">
        <is>
          <t>Dock to Stock</t>
        </is>
      </c>
      <c r="E172" s="76" t="n">
        <v>0.95</v>
      </c>
      <c r="F172" s="49" t="n">
        <v>2</v>
      </c>
      <c r="G172" s="49" t="n">
        <v>2</v>
      </c>
      <c r="H172" s="76">
        <f>F182/G182</f>
        <v/>
      </c>
      <c r="I172" s="49">
        <f>IF(H182&gt;=E182,"Yes","No")</f>
        <v/>
      </c>
    </row>
    <row r="173" ht="15" customHeight="1" s="50">
      <c r="A173" s="75" t="n">
        <v>46204</v>
      </c>
      <c r="B173" s="49" t="inlineStr">
        <is>
          <t>Simply Clean</t>
        </is>
      </c>
      <c r="C173" s="49" t="inlineStr">
        <is>
          <t>Dock to Stock</t>
        </is>
      </c>
      <c r="E173" s="76" t="n">
        <v>0.95</v>
      </c>
      <c r="F173" s="49" t="n">
        <v>4</v>
      </c>
      <c r="G173" s="49" t="n">
        <v>5</v>
      </c>
      <c r="H173" s="76">
        <f>F183/G183</f>
        <v/>
      </c>
      <c r="I173" s="49">
        <f>IF(H183&gt;=E183,"Yes","No")</f>
        <v/>
      </c>
      <c r="J173" s="49" t="inlineStr">
        <is>
          <t>Below target - investigate root cause and add to next month's action plan</t>
        </is>
      </c>
    </row>
    <row r="174" ht="15" customHeight="1" s="50">
      <c r="A174" s="75" t="n">
        <v>46204</v>
      </c>
      <c r="B174" s="49" t="inlineStr">
        <is>
          <t>Vixxen</t>
        </is>
      </c>
      <c r="C174" s="49" t="inlineStr">
        <is>
          <t>Dock to Stock</t>
        </is>
      </c>
      <c r="E174" s="76" t="n">
        <v>0.95</v>
      </c>
      <c r="F174" s="49" t="n">
        <v>2</v>
      </c>
      <c r="G174" s="49" t="n">
        <v>2</v>
      </c>
      <c r="H174" s="76">
        <f>F184/G184</f>
        <v/>
      </c>
      <c r="I174" s="49">
        <f>IF(H184&gt;=E184,"Yes","No")</f>
        <v/>
      </c>
    </row>
    <row r="175" ht="15" customHeight="1" s="50">
      <c r="A175" s="75" t="n">
        <v>46204</v>
      </c>
      <c r="B175" s="49" t="inlineStr">
        <is>
          <t>Aleger Studio</t>
        </is>
      </c>
      <c r="C175" s="49" t="inlineStr">
        <is>
          <t>Order Cut Off</t>
        </is>
      </c>
      <c r="E175" s="76" t="n">
        <v>0.95</v>
      </c>
      <c r="F175" s="49" t="n">
        <v>8</v>
      </c>
      <c r="G175" s="49" t="n">
        <v>9</v>
      </c>
      <c r="H175" s="76">
        <f>F185/G185</f>
        <v/>
      </c>
      <c r="I175" s="49">
        <f>IF(H185&gt;=E185,"Yes","No")</f>
        <v/>
      </c>
      <c r="J175" s="49" t="inlineStr">
        <is>
          <t>Below target - investigate root cause and add to next month's action plan</t>
        </is>
      </c>
    </row>
    <row r="176" ht="15" customHeight="1" s="50">
      <c r="A176" s="75" t="n">
        <v>46204</v>
      </c>
      <c r="B176" s="49" t="inlineStr">
        <is>
          <t>Baking Tech</t>
        </is>
      </c>
      <c r="C176" s="49" t="inlineStr">
        <is>
          <t>Order Cut Off</t>
        </is>
      </c>
      <c r="E176" s="76" t="n">
        <v>0.95</v>
      </c>
      <c r="F176" s="49" t="n">
        <v>1</v>
      </c>
      <c r="G176" s="49" t="n">
        <v>1</v>
      </c>
      <c r="H176" s="76">
        <f>F186/G186</f>
        <v/>
      </c>
      <c r="I176" s="49">
        <f>IF(H186&gt;=E186,"Yes","No")</f>
        <v/>
      </c>
    </row>
    <row r="177" ht="15" customHeight="1" s="50">
      <c r="A177" s="75" t="n">
        <v>46204</v>
      </c>
      <c r="B177" s="49" t="inlineStr">
        <is>
          <t>Coromandel Mountains Company Limited</t>
        </is>
      </c>
      <c r="C177" s="49" t="inlineStr">
        <is>
          <t>Order Cut Off</t>
        </is>
      </c>
      <c r="E177" s="76" t="n">
        <v>0.95</v>
      </c>
      <c r="F177" s="49" t="n">
        <v>64</v>
      </c>
      <c r="G177" s="49" t="n">
        <v>67</v>
      </c>
      <c r="H177" s="76">
        <f>F187/G187</f>
        <v/>
      </c>
      <c r="I177" s="49">
        <f>IF(H187&gt;=E187,"Yes","No")</f>
        <v/>
      </c>
    </row>
    <row r="178" ht="15" customHeight="1" s="50">
      <c r="A178" s="75" t="n">
        <v>46204</v>
      </c>
      <c r="B178" s="49" t="inlineStr">
        <is>
          <t>Flo &amp; Frankie</t>
        </is>
      </c>
      <c r="C178" s="49" t="inlineStr">
        <is>
          <t>Order Cut Off</t>
        </is>
      </c>
      <c r="E178" s="76" t="n">
        <v>0.95</v>
      </c>
      <c r="F178" s="49" t="n">
        <v>15</v>
      </c>
      <c r="G178" s="49" t="n">
        <v>15</v>
      </c>
      <c r="H178" s="76">
        <f>F188/G188</f>
        <v/>
      </c>
      <c r="I178" s="49">
        <f>IF(H188&gt;=E188,"Yes","No")</f>
        <v/>
      </c>
    </row>
    <row r="179" ht="15" customHeight="1" s="50">
      <c r="A179" s="75" t="n">
        <v>46204</v>
      </c>
      <c r="B179" s="49" t="inlineStr">
        <is>
          <t>Geodis</t>
        </is>
      </c>
      <c r="C179" s="49" t="inlineStr">
        <is>
          <t>Order Cut Off</t>
        </is>
      </c>
      <c r="E179" s="76" t="n">
        <v>0.95</v>
      </c>
      <c r="F179" s="49" t="n">
        <v>0</v>
      </c>
      <c r="G179" s="49" t="n">
        <v>1</v>
      </c>
      <c r="H179" s="76">
        <f>F189/G189</f>
        <v/>
      </c>
      <c r="I179" s="49">
        <f>IF(H189&gt;=E189,"Yes","No")</f>
        <v/>
      </c>
      <c r="J179" s="49" t="inlineStr">
        <is>
          <t>Below target - investigate root cause and add to next month's action plan</t>
        </is>
      </c>
    </row>
    <row r="180" ht="15" customHeight="1" s="50">
      <c r="A180" s="75" t="n">
        <v>46204</v>
      </c>
      <c r="B180" s="49" t="inlineStr">
        <is>
          <t>Gym Equip</t>
        </is>
      </c>
      <c r="C180" s="49" t="inlineStr">
        <is>
          <t>Order Cut Off</t>
        </is>
      </c>
      <c r="E180" s="76" t="n">
        <v>0.95</v>
      </c>
      <c r="F180" s="49" t="n">
        <v>2</v>
      </c>
      <c r="G180" s="49" t="n">
        <v>3</v>
      </c>
      <c r="H180" s="76">
        <f>F190/G190</f>
        <v/>
      </c>
      <c r="I180" s="49">
        <f>IF(H190&gt;=E190,"Yes","No")</f>
        <v/>
      </c>
      <c r="J180" s="49" t="inlineStr">
        <is>
          <t>Below target - investigate root cause and add to next month's action plan</t>
        </is>
      </c>
    </row>
    <row r="181" ht="15" customHeight="1" s="50">
      <c r="A181" s="75" t="n">
        <v>46204</v>
      </c>
      <c r="B181" s="49" t="inlineStr">
        <is>
          <t>Interior Images</t>
        </is>
      </c>
      <c r="C181" s="49" t="inlineStr">
        <is>
          <t>Order Cut Off</t>
        </is>
      </c>
      <c r="E181" s="76" t="n">
        <v>0.95</v>
      </c>
      <c r="F181" s="49" t="n">
        <v>2</v>
      </c>
      <c r="G181" s="49" t="n">
        <v>6</v>
      </c>
      <c r="H181" s="76">
        <f>F191/G191</f>
        <v/>
      </c>
      <c r="I181" s="49">
        <f>IF(H191&gt;=E191,"Yes","No")</f>
        <v/>
      </c>
      <c r="J181" s="49" t="inlineStr">
        <is>
          <t>Below target - investigate root cause and add to next month's action plan</t>
        </is>
      </c>
    </row>
    <row r="182" ht="15" customHeight="1" s="50">
      <c r="A182" s="75" t="n">
        <v>46204</v>
      </c>
      <c r="B182" s="49" t="inlineStr">
        <is>
          <t>Jock Freight - SECA</t>
        </is>
      </c>
      <c r="C182" s="49" t="inlineStr">
        <is>
          <t>Order Cut Off</t>
        </is>
      </c>
      <c r="E182" s="76" t="n">
        <v>0.95</v>
      </c>
      <c r="F182" s="49" t="n">
        <v>12</v>
      </c>
      <c r="G182" s="49" t="n">
        <v>12</v>
      </c>
      <c r="H182" s="76">
        <f>F192/G192</f>
        <v/>
      </c>
      <c r="I182" s="49">
        <f>IF(H192&gt;=E192,"Yes","No")</f>
        <v/>
      </c>
    </row>
    <row r="183" ht="15" customHeight="1" s="50">
      <c r="A183" s="75" t="n">
        <v>46204</v>
      </c>
      <c r="B183" s="49" t="inlineStr">
        <is>
          <t>Logwin - Sikla</t>
        </is>
      </c>
      <c r="C183" s="49" t="inlineStr">
        <is>
          <t>Order Cut Off</t>
        </is>
      </c>
      <c r="E183" s="76" t="n">
        <v>0.95</v>
      </c>
      <c r="F183" s="49" t="n">
        <v>12</v>
      </c>
      <c r="G183" s="49" t="n">
        <v>15</v>
      </c>
      <c r="H183" s="76">
        <f>F193/G193</f>
        <v/>
      </c>
      <c r="I183" s="49">
        <f>IF(H193&gt;=E193,"Yes","No")</f>
        <v/>
      </c>
      <c r="J183" s="49" t="inlineStr">
        <is>
          <t>Below target - investigate root cause and add to next month's action plan</t>
        </is>
      </c>
    </row>
    <row r="184" ht="15" customHeight="1" s="50">
      <c r="A184" s="75" t="n">
        <v>46204</v>
      </c>
      <c r="B184" s="49" t="inlineStr">
        <is>
          <t>Made Group NZ</t>
        </is>
      </c>
      <c r="C184" s="49" t="inlineStr">
        <is>
          <t>Order Cut Off</t>
        </is>
      </c>
      <c r="E184" s="76" t="n">
        <v>0.95</v>
      </c>
      <c r="F184" s="49" t="n">
        <v>14</v>
      </c>
      <c r="G184" s="49" t="n">
        <v>14</v>
      </c>
      <c r="H184" s="76">
        <f>F194/G194</f>
        <v/>
      </c>
      <c r="I184" s="49">
        <f>IF(H194&gt;=E194,"Yes","No")</f>
        <v/>
      </c>
    </row>
    <row r="185" ht="15" customHeight="1" s="50">
      <c r="A185" s="75" t="n">
        <v>46204</v>
      </c>
      <c r="B185" s="49" t="inlineStr">
        <is>
          <t>Oricom</t>
        </is>
      </c>
      <c r="C185" s="49" t="inlineStr">
        <is>
          <t>Order Cut Off</t>
        </is>
      </c>
      <c r="E185" s="76" t="n">
        <v>0.95</v>
      </c>
      <c r="F185" s="49" t="n">
        <v>174</v>
      </c>
      <c r="G185" s="49" t="n">
        <v>181</v>
      </c>
      <c r="H185" s="76">
        <f>F195/G195</f>
        <v/>
      </c>
      <c r="I185" s="49">
        <f>IF(H195&gt;=E195,"Yes","No")</f>
        <v/>
      </c>
    </row>
    <row r="186" ht="15" customHeight="1" s="50">
      <c r="A186" s="75" t="n">
        <v>46204</v>
      </c>
      <c r="B186" s="49" t="inlineStr">
        <is>
          <t>Purify Me</t>
        </is>
      </c>
      <c r="C186" s="49" t="inlineStr">
        <is>
          <t>Order Cut Off</t>
        </is>
      </c>
      <c r="E186" s="76" t="n">
        <v>0.95</v>
      </c>
      <c r="F186" s="49" t="n">
        <v>91</v>
      </c>
      <c r="G186" s="49" t="n">
        <v>92</v>
      </c>
      <c r="H186" s="76">
        <f>F196/G196</f>
        <v/>
      </c>
      <c r="I186" s="49">
        <f>IF(H196&gt;=E196,"Yes","No")</f>
        <v/>
      </c>
    </row>
    <row r="187" ht="15" customHeight="1" s="50">
      <c r="A187" s="75" t="n">
        <v>46204</v>
      </c>
      <c r="B187" s="49" t="inlineStr">
        <is>
          <t>Salt Shark</t>
        </is>
      </c>
      <c r="C187" s="49" t="inlineStr">
        <is>
          <t>Order Cut Off</t>
        </is>
      </c>
      <c r="E187" s="76" t="n">
        <v>0.95</v>
      </c>
      <c r="F187" s="49" t="n">
        <v>16</v>
      </c>
      <c r="G187" s="49" t="n">
        <v>16</v>
      </c>
      <c r="H187" s="76">
        <f>F197/G197</f>
        <v/>
      </c>
      <c r="I187" s="49">
        <f>IF(H197&gt;=E197,"Yes","No")</f>
        <v/>
      </c>
    </row>
    <row r="188" ht="15" customHeight="1" s="50">
      <c r="A188" s="75" t="n">
        <v>46204</v>
      </c>
      <c r="B188" s="49" t="inlineStr">
        <is>
          <t>Stryx</t>
        </is>
      </c>
      <c r="C188" s="49" t="inlineStr">
        <is>
          <t>Order Cut Off</t>
        </is>
      </c>
      <c r="E188" s="76" t="n">
        <v>0.95</v>
      </c>
      <c r="F188" s="49" t="n">
        <v>14</v>
      </c>
      <c r="G188" s="49" t="n">
        <v>18</v>
      </c>
      <c r="H188" s="76">
        <f>F198/G198</f>
        <v/>
      </c>
      <c r="I188" s="49">
        <f>IF(H198&gt;=E198,"Yes","No")</f>
        <v/>
      </c>
      <c r="J188" s="49" t="inlineStr">
        <is>
          <t>Below target - investigate root cause and add to next month's action plan</t>
        </is>
      </c>
    </row>
    <row r="189" ht="15" customHeight="1" s="50">
      <c r="A189" s="75" t="n">
        <v>46204</v>
      </c>
      <c r="B189" s="49" t="inlineStr">
        <is>
          <t>Vixxen</t>
        </is>
      </c>
      <c r="C189" s="49" t="inlineStr">
        <is>
          <t>Order Cut Off</t>
        </is>
      </c>
      <c r="E189" s="76" t="n">
        <v>0.95</v>
      </c>
      <c r="F189" s="49" t="n">
        <v>396</v>
      </c>
      <c r="G189" s="49" t="n">
        <v>398</v>
      </c>
      <c r="H189" s="76">
        <f>F199/G199</f>
        <v/>
      </c>
      <c r="I189" s="49">
        <f>IF(H199&gt;=E199,"Yes","No")</f>
        <v/>
      </c>
    </row>
    <row r="190" ht="15" customHeight="1" s="50">
      <c r="A190" s="75" t="n">
        <v>46204</v>
      </c>
      <c r="B190" s="49" t="inlineStr">
        <is>
          <t>Aleger Studio</t>
        </is>
      </c>
      <c r="C190" s="49" t="inlineStr">
        <is>
          <t>Order Accuracy by Unit</t>
        </is>
      </c>
      <c r="E190" s="76" t="n">
        <v>0.995</v>
      </c>
      <c r="F190" s="49" t="n">
        <v>1</v>
      </c>
      <c r="G190" s="49" t="n">
        <v>1</v>
      </c>
      <c r="H190" s="76">
        <f>F200/G200</f>
        <v/>
      </c>
      <c r="I190" s="49">
        <f>IF(H200&gt;=E200,"Yes","No")</f>
        <v/>
      </c>
    </row>
    <row r="191" ht="15" customHeight="1" s="50">
      <c r="A191" s="75" t="n">
        <v>46204</v>
      </c>
      <c r="B191" s="49" t="inlineStr">
        <is>
          <t>Baking Tech</t>
        </is>
      </c>
      <c r="C191" s="49" t="inlineStr">
        <is>
          <t>Order Accuracy by Unit</t>
        </is>
      </c>
      <c r="E191" s="76" t="n">
        <v>0.995</v>
      </c>
      <c r="F191" s="49" t="n">
        <v>1</v>
      </c>
      <c r="G191" s="49" t="n">
        <v>1</v>
      </c>
      <c r="H191" s="76">
        <f>F201/G201</f>
        <v/>
      </c>
      <c r="I191" s="49">
        <f>IF(H201&gt;=E201,"Yes","No")</f>
        <v/>
      </c>
    </row>
    <row r="192" ht="15" customHeight="1" s="50">
      <c r="A192" s="75" t="n">
        <v>46204</v>
      </c>
      <c r="B192" s="49" t="inlineStr">
        <is>
          <t>Coromandel Mountains Company Limited</t>
        </is>
      </c>
      <c r="C192" s="49" t="inlineStr">
        <is>
          <t>Order Accuracy by Unit</t>
        </is>
      </c>
      <c r="E192" s="76" t="n">
        <v>0.995</v>
      </c>
      <c r="F192" s="49" t="n">
        <v>1</v>
      </c>
      <c r="G192" s="49" t="n">
        <v>1</v>
      </c>
      <c r="H192" s="76">
        <f>F202/G202</f>
        <v/>
      </c>
      <c r="I192" s="49">
        <f>IF(H202&gt;=E202,"Yes","No")</f>
        <v/>
      </c>
    </row>
    <row r="193" ht="15" customHeight="1" s="50">
      <c r="A193" s="75" t="n">
        <v>46204</v>
      </c>
      <c r="B193" s="49" t="inlineStr">
        <is>
          <t>EcoPallets</t>
        </is>
      </c>
      <c r="C193" s="49" t="inlineStr">
        <is>
          <t>Order Accuracy by Unit</t>
        </is>
      </c>
      <c r="E193" s="76" t="n">
        <v>0.995</v>
      </c>
      <c r="F193" s="49" t="n">
        <v>1</v>
      </c>
      <c r="G193" s="49" t="n">
        <v>1</v>
      </c>
      <c r="H193" s="76">
        <f>F203/G203</f>
        <v/>
      </c>
      <c r="I193" s="49">
        <f>IF(H203&gt;=E203,"Yes","No")</f>
        <v/>
      </c>
    </row>
    <row r="194" ht="15" customHeight="1" s="50">
      <c r="A194" s="75" t="n">
        <v>46204</v>
      </c>
      <c r="B194" s="49" t="inlineStr">
        <is>
          <t>Flo &amp; Frankie</t>
        </is>
      </c>
      <c r="C194" s="49" t="inlineStr">
        <is>
          <t>Order Accuracy by Unit</t>
        </is>
      </c>
      <c r="E194" s="76" t="n">
        <v>0.995</v>
      </c>
      <c r="F194" s="49" t="n">
        <v>1</v>
      </c>
      <c r="G194" s="49" t="n">
        <v>1</v>
      </c>
      <c r="H194" s="76">
        <f>F204/G204</f>
        <v/>
      </c>
      <c r="I194" s="49">
        <f>IF(H204&gt;=E204,"Yes","No")</f>
        <v/>
      </c>
    </row>
    <row r="195" ht="15" customHeight="1" s="50">
      <c r="A195" s="75" t="n">
        <v>46204</v>
      </c>
      <c r="B195" s="49" t="inlineStr">
        <is>
          <t>Geodis</t>
        </is>
      </c>
      <c r="C195" s="49" t="inlineStr">
        <is>
          <t>Order Accuracy by Unit</t>
        </is>
      </c>
      <c r="E195" s="76" t="n">
        <v>0.995</v>
      </c>
      <c r="F195" s="49" t="n">
        <v>1</v>
      </c>
      <c r="G195" s="49" t="n">
        <v>1</v>
      </c>
      <c r="H195" s="76">
        <f>F205/G205</f>
        <v/>
      </c>
      <c r="I195" s="49">
        <f>IF(H205&gt;=E205,"Yes","No")</f>
        <v/>
      </c>
    </row>
    <row r="196" ht="15" customHeight="1" s="50">
      <c r="A196" s="75" t="n">
        <v>46204</v>
      </c>
      <c r="B196" s="49" t="inlineStr">
        <is>
          <t>Gym Equip</t>
        </is>
      </c>
      <c r="C196" s="49" t="inlineStr">
        <is>
          <t>Order Accuracy by Unit</t>
        </is>
      </c>
      <c r="E196" s="76" t="n">
        <v>0.995</v>
      </c>
      <c r="F196" s="49" t="n">
        <v>1</v>
      </c>
      <c r="G196" s="49" t="n">
        <v>1</v>
      </c>
      <c r="H196" s="76">
        <f>F206/G206</f>
        <v/>
      </c>
      <c r="I196" s="49">
        <f>IF(H206&gt;=E206,"Yes","No")</f>
        <v/>
      </c>
    </row>
    <row r="197" ht="15" customHeight="1" s="50">
      <c r="A197" s="75" t="n">
        <v>46204</v>
      </c>
      <c r="B197" s="49" t="inlineStr">
        <is>
          <t>Interior Images</t>
        </is>
      </c>
      <c r="C197" s="49" t="inlineStr">
        <is>
          <t>Order Accuracy by Unit</t>
        </is>
      </c>
      <c r="E197" s="76" t="n">
        <v>0.995</v>
      </c>
      <c r="F197" s="49" t="n">
        <v>1</v>
      </c>
      <c r="G197" s="49" t="n">
        <v>1</v>
      </c>
      <c r="H197" s="76">
        <f>F207/G207</f>
        <v/>
      </c>
      <c r="I197" s="49">
        <f>IF(H207&gt;=E207,"Yes","No")</f>
        <v/>
      </c>
    </row>
    <row r="198" ht="15" customHeight="1" s="50">
      <c r="A198" s="75" t="n">
        <v>46204</v>
      </c>
      <c r="B198" s="49" t="inlineStr">
        <is>
          <t>Jock Freight - SECA</t>
        </is>
      </c>
      <c r="C198" s="49" t="inlineStr">
        <is>
          <t>Order Accuracy by Unit</t>
        </is>
      </c>
      <c r="E198" s="76" t="n">
        <v>0.995</v>
      </c>
      <c r="F198" s="49" t="n">
        <v>1</v>
      </c>
      <c r="G198" s="49" t="n">
        <v>1</v>
      </c>
      <c r="H198" s="76">
        <f>F208/G208</f>
        <v/>
      </c>
      <c r="I198" s="49">
        <f>IF(H208&gt;=E208,"Yes","No")</f>
        <v/>
      </c>
    </row>
    <row r="199" ht="15" customHeight="1" s="50">
      <c r="A199" s="75" t="n">
        <v>46204</v>
      </c>
      <c r="B199" s="49" t="inlineStr">
        <is>
          <t>Logwin - Sikla</t>
        </is>
      </c>
      <c r="C199" s="49" t="inlineStr">
        <is>
          <t>Order Accuracy by Unit</t>
        </is>
      </c>
      <c r="E199" s="76" t="n">
        <v>0.995</v>
      </c>
      <c r="F199" s="49" t="n">
        <v>1</v>
      </c>
      <c r="G199" s="49" t="n">
        <v>1</v>
      </c>
      <c r="H199" s="76">
        <f>F209/G209</f>
        <v/>
      </c>
      <c r="I199" s="49">
        <f>IF(H209&gt;=E209,"Yes","No")</f>
        <v/>
      </c>
    </row>
    <row r="200" ht="15" customHeight="1" s="50">
      <c r="A200" s="75" t="n">
        <v>46204</v>
      </c>
      <c r="B200" s="49" t="inlineStr">
        <is>
          <t>Made Group NZ</t>
        </is>
      </c>
      <c r="C200" s="49" t="inlineStr">
        <is>
          <t>Order Accuracy by Unit</t>
        </is>
      </c>
      <c r="E200" s="76" t="n">
        <v>0.995</v>
      </c>
      <c r="F200" s="49" t="n">
        <v>1</v>
      </c>
      <c r="G200" s="49" t="n">
        <v>1</v>
      </c>
      <c r="H200" s="76">
        <f>F210/G210</f>
        <v/>
      </c>
      <c r="I200" s="49">
        <f>IF(H210&gt;=E210,"Yes","No")</f>
        <v/>
      </c>
    </row>
    <row r="201" ht="15" customHeight="1" s="50">
      <c r="A201" s="75" t="n">
        <v>46204</v>
      </c>
      <c r="B201" s="49" t="inlineStr">
        <is>
          <t>Madigan Freight Services</t>
        </is>
      </c>
      <c r="C201" s="49" t="inlineStr">
        <is>
          <t>Order Accuracy by Unit</t>
        </is>
      </c>
      <c r="E201" s="76" t="n">
        <v>0.995</v>
      </c>
      <c r="F201" s="49" t="n">
        <v>1</v>
      </c>
      <c r="G201" s="49" t="n">
        <v>1</v>
      </c>
      <c r="H201" s="76">
        <f>F211/G211</f>
        <v/>
      </c>
      <c r="I201" s="49">
        <f>IF(H211&gt;=E211,"Yes","No")</f>
        <v/>
      </c>
    </row>
    <row r="202" ht="15" customHeight="1" s="50">
      <c r="A202" s="75" t="n">
        <v>46204</v>
      </c>
      <c r="B202" s="49" t="inlineStr">
        <is>
          <t>Method Global</t>
        </is>
      </c>
      <c r="C202" s="49" t="inlineStr">
        <is>
          <t>Order Accuracy by Unit</t>
        </is>
      </c>
      <c r="E202" s="76" t="n">
        <v>0.995</v>
      </c>
      <c r="F202" s="49" t="n">
        <v>1</v>
      </c>
      <c r="G202" s="49" t="n">
        <v>1</v>
      </c>
      <c r="H202" s="76">
        <f>F212/G212</f>
        <v/>
      </c>
      <c r="I202" s="49">
        <f>IF(H212&gt;=E212,"Yes","No")</f>
        <v/>
      </c>
    </row>
    <row r="203" ht="15" customHeight="1" s="50">
      <c r="A203" s="75" t="n">
        <v>46204</v>
      </c>
      <c r="B203" s="49" t="inlineStr">
        <is>
          <t>Oricom</t>
        </is>
      </c>
      <c r="C203" s="49" t="inlineStr">
        <is>
          <t>Order Accuracy by Unit</t>
        </is>
      </c>
      <c r="E203" s="76" t="n">
        <v>0.995</v>
      </c>
      <c r="F203" s="49" t="n">
        <v>1</v>
      </c>
      <c r="G203" s="49" t="n">
        <v>1</v>
      </c>
      <c r="H203" s="76">
        <f>F213/G213</f>
        <v/>
      </c>
      <c r="I203" s="49">
        <f>IF(H213&gt;=E213,"Yes","No")</f>
        <v/>
      </c>
    </row>
    <row r="204" ht="15" customHeight="1" s="50">
      <c r="A204" s="75" t="n">
        <v>46204</v>
      </c>
      <c r="B204" s="49" t="inlineStr">
        <is>
          <t>Purify Me</t>
        </is>
      </c>
      <c r="C204" s="49" t="inlineStr">
        <is>
          <t>Order Accuracy by Unit</t>
        </is>
      </c>
      <c r="E204" s="76" t="n">
        <v>0.995</v>
      </c>
      <c r="F204" s="49" t="n">
        <v>1</v>
      </c>
      <c r="G204" s="49" t="n">
        <v>1</v>
      </c>
      <c r="H204" s="76">
        <f>F214/G214</f>
        <v/>
      </c>
      <c r="I204" s="49">
        <f>IF(H214&gt;=E214,"Yes","No")</f>
        <v/>
      </c>
    </row>
    <row r="205" ht="15" customHeight="1" s="50">
      <c r="A205" s="75" t="n">
        <v>46204</v>
      </c>
      <c r="B205" s="49" t="inlineStr">
        <is>
          <t>Salt Shark</t>
        </is>
      </c>
      <c r="C205" s="49" t="inlineStr">
        <is>
          <t>Order Accuracy by Unit</t>
        </is>
      </c>
      <c r="E205" s="76" t="n">
        <v>0.995</v>
      </c>
      <c r="F205" s="49" t="n">
        <v>1</v>
      </c>
      <c r="G205" s="49" t="n">
        <v>1</v>
      </c>
      <c r="H205" s="76">
        <f>F215/G215</f>
        <v/>
      </c>
      <c r="I205" s="49">
        <f>IF(H215&gt;=E215,"Yes","No")</f>
        <v/>
      </c>
    </row>
    <row r="206" ht="15" customHeight="1" s="50">
      <c r="A206" s="75" t="n">
        <v>46204</v>
      </c>
      <c r="B206" s="49" t="inlineStr">
        <is>
          <t>Simply Clean</t>
        </is>
      </c>
      <c r="C206" s="49" t="inlineStr">
        <is>
          <t>Order Accuracy by Unit</t>
        </is>
      </c>
      <c r="E206" s="76" t="n">
        <v>0.995</v>
      </c>
      <c r="F206" s="49" t="n">
        <v>1</v>
      </c>
      <c r="G206" s="49" t="n">
        <v>1</v>
      </c>
      <c r="H206" s="76">
        <f>F216/G216</f>
        <v/>
      </c>
      <c r="I206" s="49">
        <f>IF(H216&gt;=E216,"Yes","No")</f>
        <v/>
      </c>
    </row>
    <row r="207" ht="15" customHeight="1" s="50">
      <c r="A207" s="75" t="n">
        <v>46204</v>
      </c>
      <c r="B207" s="49" t="inlineStr">
        <is>
          <t>Stryx</t>
        </is>
      </c>
      <c r="C207" s="49" t="inlineStr">
        <is>
          <t>Order Accuracy by Unit</t>
        </is>
      </c>
      <c r="E207" s="76" t="n">
        <v>0.995</v>
      </c>
      <c r="F207" s="49" t="n">
        <v>1</v>
      </c>
      <c r="G207" s="49" t="n">
        <v>1</v>
      </c>
      <c r="H207" s="76">
        <f>F217/G217</f>
        <v/>
      </c>
      <c r="I207" s="49">
        <f>IF(H217&gt;=E217,"Yes","No")</f>
        <v/>
      </c>
    </row>
    <row r="208" ht="15" customHeight="1" s="50">
      <c r="A208" s="75" t="n">
        <v>46204</v>
      </c>
      <c r="B208" s="49" t="inlineStr">
        <is>
          <t>Vixxen</t>
        </is>
      </c>
      <c r="C208" s="49" t="inlineStr">
        <is>
          <t>Order Accuracy by Unit</t>
        </is>
      </c>
      <c r="E208" s="76" t="n">
        <v>0.995</v>
      </c>
      <c r="F208" s="49" t="n">
        <v>1</v>
      </c>
      <c r="G208" s="49" t="n">
        <v>1</v>
      </c>
      <c r="H208" s="76">
        <f>F218/G218</f>
        <v/>
      </c>
      <c r="I208" s="49">
        <f>IF(H218&gt;=E218,"Yes","No")</f>
        <v/>
      </c>
    </row>
    <row r="209" ht="15" customHeight="1" s="50">
      <c r="A209" s="77" t="n">
        <v>46174</v>
      </c>
      <c r="B209" s="49" t="inlineStr">
        <is>
          <t>Aleger Studio</t>
        </is>
      </c>
      <c r="C209" s="49" t="inlineStr">
        <is>
          <t>Freight DIFOT</t>
        </is>
      </c>
      <c r="E209" s="49" t="n">
        <v>0.95</v>
      </c>
      <c r="F209" s="49" t="n">
        <v>4</v>
      </c>
      <c r="G209" s="49" t="n">
        <v>4</v>
      </c>
      <c r="H209" s="49">
        <f>F221/G221</f>
        <v/>
      </c>
      <c r="I209" s="49">
        <f>IF(H221&gt;=E221,"Yes","No")</f>
        <v/>
      </c>
    </row>
    <row r="210" ht="15" customHeight="1" s="50">
      <c r="A210" s="77" t="n">
        <v>46174</v>
      </c>
      <c r="B210" s="49" t="inlineStr">
        <is>
          <t>Coromandel Mountains Company Limited</t>
        </is>
      </c>
      <c r="C210" s="49" t="inlineStr">
        <is>
          <t>Freight DIFOT</t>
        </is>
      </c>
      <c r="E210" s="49" t="n">
        <v>0.95</v>
      </c>
      <c r="F210" s="49" t="n">
        <v>26</v>
      </c>
      <c r="G210" s="49" t="n">
        <v>26</v>
      </c>
      <c r="H210" s="49">
        <f>F222/G222</f>
        <v/>
      </c>
      <c r="I210" s="49">
        <f>IF(H222&gt;=E222,"Yes","No")</f>
        <v/>
      </c>
    </row>
    <row r="211" ht="15" customHeight="1" s="50">
      <c r="A211" s="77" t="n">
        <v>46174</v>
      </c>
      <c r="B211" s="49" t="inlineStr">
        <is>
          <t>Interior Images</t>
        </is>
      </c>
      <c r="C211" s="49" t="inlineStr">
        <is>
          <t>Freight DIFOT</t>
        </is>
      </c>
      <c r="E211" s="49" t="n">
        <v>0.95</v>
      </c>
      <c r="F211" s="49" t="n">
        <v>0</v>
      </c>
      <c r="G211" s="49" t="n">
        <v>1</v>
      </c>
      <c r="H211" s="49">
        <f>F223/G223</f>
        <v/>
      </c>
      <c r="I211" s="49">
        <f>IF(H223&gt;=E223,"Yes","No")</f>
        <v/>
      </c>
      <c r="J211" s="49" t="inlineStr">
        <is>
          <t>Below target - investigate root cause and add to next month's action plan</t>
        </is>
      </c>
    </row>
    <row r="212" ht="15" customHeight="1" s="50">
      <c r="A212" s="77" t="n">
        <v>46174</v>
      </c>
      <c r="B212" s="49" t="inlineStr">
        <is>
          <t>Jock Freight - SECA</t>
        </is>
      </c>
      <c r="C212" s="49" t="inlineStr">
        <is>
          <t>Freight DIFOT</t>
        </is>
      </c>
      <c r="E212" s="49" t="n">
        <v>0.95</v>
      </c>
      <c r="F212" s="49" t="n">
        <v>2</v>
      </c>
      <c r="G212" s="49" t="n">
        <v>2</v>
      </c>
      <c r="H212" s="49">
        <f>F224/G224</f>
        <v/>
      </c>
      <c r="I212" s="49">
        <f>IF(H224&gt;=E224,"Yes","No")</f>
        <v/>
      </c>
    </row>
    <row r="213" ht="15" customHeight="1" s="50">
      <c r="A213" s="77" t="n">
        <v>46174</v>
      </c>
      <c r="B213" s="49" t="inlineStr">
        <is>
          <t>Logwin - Sikla</t>
        </is>
      </c>
      <c r="C213" s="49" t="inlineStr">
        <is>
          <t>Freight DIFOT</t>
        </is>
      </c>
      <c r="E213" s="49" t="n">
        <v>0.95</v>
      </c>
      <c r="F213" s="49" t="n">
        <v>1</v>
      </c>
      <c r="G213" s="49" t="n">
        <v>1</v>
      </c>
      <c r="H213" s="49">
        <f>F225/G225</f>
        <v/>
      </c>
      <c r="I213" s="49">
        <f>IF(H225&gt;=E225,"Yes","No")</f>
        <v/>
      </c>
    </row>
    <row r="214" ht="15" customHeight="1" s="50">
      <c r="A214" s="77" t="n">
        <v>46174</v>
      </c>
      <c r="B214" s="49" t="inlineStr">
        <is>
          <t>Made Group NZ</t>
        </is>
      </c>
      <c r="C214" s="49" t="inlineStr">
        <is>
          <t>Freight DIFOT</t>
        </is>
      </c>
      <c r="E214" s="49" t="n">
        <v>0.95</v>
      </c>
      <c r="F214" s="49" t="n">
        <v>2</v>
      </c>
      <c r="G214" s="49" t="n">
        <v>2</v>
      </c>
      <c r="H214" s="49">
        <f>F226/G226</f>
        <v/>
      </c>
      <c r="I214" s="49">
        <f>IF(H226&gt;=E226,"Yes","No")</f>
        <v/>
      </c>
    </row>
    <row r="215" ht="15" customHeight="1" s="50">
      <c r="A215" s="77" t="n">
        <v>46174</v>
      </c>
      <c r="B215" s="49" t="inlineStr">
        <is>
          <t>Oricom</t>
        </is>
      </c>
      <c r="C215" s="49" t="inlineStr">
        <is>
          <t>Freight DIFOT</t>
        </is>
      </c>
      <c r="E215" s="49" t="n">
        <v>0.95</v>
      </c>
      <c r="F215" s="49" t="n">
        <v>30</v>
      </c>
      <c r="G215" s="49" t="n">
        <v>36</v>
      </c>
      <c r="H215" s="49">
        <f>F227/G227</f>
        <v/>
      </c>
      <c r="I215" s="49">
        <f>IF(H227&gt;=E227,"Yes","No")</f>
        <v/>
      </c>
      <c r="J215" s="49" t="inlineStr">
        <is>
          <t>Below target - investigate root cause and add to next month's action plan</t>
        </is>
      </c>
    </row>
    <row r="216" ht="15" customHeight="1" s="50">
      <c r="A216" s="77" t="n">
        <v>46174</v>
      </c>
      <c r="B216" s="49" t="inlineStr">
        <is>
          <t>Purify Me</t>
        </is>
      </c>
      <c r="C216" s="49" t="inlineStr">
        <is>
          <t>Freight DIFOT</t>
        </is>
      </c>
      <c r="E216" s="49" t="n">
        <v>0.95</v>
      </c>
      <c r="F216" s="49" t="n">
        <v>1</v>
      </c>
      <c r="G216" s="49" t="n">
        <v>1</v>
      </c>
      <c r="H216" s="49">
        <f>F228/G228</f>
        <v/>
      </c>
      <c r="I216" s="49">
        <f>IF(H228&gt;=E228,"Yes","No")</f>
        <v/>
      </c>
    </row>
    <row r="217" ht="15" customHeight="1" s="50">
      <c r="A217" s="77" t="n">
        <v>46174</v>
      </c>
      <c r="B217" s="49" t="inlineStr">
        <is>
          <t>Salt Shark</t>
        </is>
      </c>
      <c r="C217" s="49" t="inlineStr">
        <is>
          <t>Freight DIFOT</t>
        </is>
      </c>
      <c r="E217" s="49" t="n">
        <v>0.95</v>
      </c>
      <c r="F217" s="49" t="n">
        <v>15</v>
      </c>
      <c r="G217" s="49" t="n">
        <v>16</v>
      </c>
      <c r="H217" s="49">
        <f>F229/G229</f>
        <v/>
      </c>
      <c r="I217" s="49">
        <f>IF(H229&gt;=E229,"Yes","No")</f>
        <v/>
      </c>
      <c r="J217" s="49" t="inlineStr">
        <is>
          <t>Below target - investigate root cause and add to next month's action plan</t>
        </is>
      </c>
    </row>
    <row r="218" ht="15" customHeight="1" s="50">
      <c r="A218" s="77" t="n">
        <v>46174</v>
      </c>
      <c r="B218" s="49" t="inlineStr">
        <is>
          <t>Stryx</t>
        </is>
      </c>
      <c r="C218" s="49" t="inlineStr">
        <is>
          <t>Freight DIFOT</t>
        </is>
      </c>
      <c r="E218" s="49" t="n">
        <v>0.95</v>
      </c>
      <c r="F218" s="49" t="n">
        <v>8</v>
      </c>
      <c r="G218" s="49" t="n">
        <v>9</v>
      </c>
      <c r="H218" s="49">
        <f>F230/G230</f>
        <v/>
      </c>
      <c r="I218" s="49">
        <f>IF(H230&gt;=E230,"Yes","No")</f>
        <v/>
      </c>
      <c r="J218" s="49" t="inlineStr">
        <is>
          <t>Below target - investigate root cause and add to next month's action plan</t>
        </is>
      </c>
    </row>
    <row r="219" ht="15" customHeight="1" s="50">
      <c r="A219" s="77" t="n">
        <v>46174</v>
      </c>
      <c r="B219" s="49" t="inlineStr">
        <is>
          <t>Vixxen</t>
        </is>
      </c>
      <c r="C219" s="49" t="inlineStr">
        <is>
          <t>Freight DIFOT</t>
        </is>
      </c>
      <c r="E219" s="49" t="n">
        <v>0.95</v>
      </c>
      <c r="F219" s="49" t="n">
        <v>80</v>
      </c>
      <c r="G219" s="49" t="n">
        <v>87</v>
      </c>
      <c r="H219" s="49">
        <f>F231/G231</f>
        <v/>
      </c>
      <c r="I219" s="49">
        <f>IF(H231&gt;=E231,"Yes","No")</f>
        <v/>
      </c>
      <c r="J219" s="49" t="inlineStr">
        <is>
          <t>Below target - investigate root cause and add to next month's action plan</t>
        </is>
      </c>
    </row>
    <row r="220" ht="15" customHeight="1" s="50">
      <c r="A220" s="77" t="n">
        <v>46204</v>
      </c>
      <c r="B220" s="49" t="inlineStr">
        <is>
          <t>Aleger Studio</t>
        </is>
      </c>
      <c r="C220" s="49" t="inlineStr">
        <is>
          <t>Freight DIFOT</t>
        </is>
      </c>
      <c r="E220" s="49" t="n">
        <v>0.95</v>
      </c>
      <c r="F220" s="49" t="n">
        <v>3</v>
      </c>
      <c r="G220" s="49" t="n">
        <v>3</v>
      </c>
      <c r="H220" s="49">
        <f>F220/G220</f>
        <v/>
      </c>
      <c r="I220" s="49">
        <f>IF(H220&gt;=E220,"Yes","No")</f>
        <v/>
      </c>
    </row>
    <row r="221" ht="15" customHeight="1" s="50">
      <c r="A221" s="77" t="n">
        <v>46204</v>
      </c>
      <c r="B221" s="49" t="inlineStr">
        <is>
          <t>Coromandel Mountains Company Limited</t>
        </is>
      </c>
      <c r="C221" s="49" t="inlineStr">
        <is>
          <t>Freight DIFOT</t>
        </is>
      </c>
      <c r="E221" s="49" t="n">
        <v>0.95</v>
      </c>
      <c r="F221" s="49" t="n">
        <v>40</v>
      </c>
      <c r="G221" s="49" t="n">
        <v>47</v>
      </c>
      <c r="H221" s="49">
        <f>F221/G221</f>
        <v/>
      </c>
      <c r="I221" s="49">
        <f>IF(H221&gt;=E221,"Yes","No")</f>
        <v/>
      </c>
      <c r="J221" s="49" t="inlineStr">
        <is>
          <t>Below target - investigate root cause and add to next month's action plan</t>
        </is>
      </c>
    </row>
    <row r="222" ht="15" customHeight="1" s="50">
      <c r="A222" s="77" t="n">
        <v>46204</v>
      </c>
      <c r="B222" s="49" t="inlineStr">
        <is>
          <t>Flo &amp; Frankie</t>
        </is>
      </c>
      <c r="C222" s="49" t="inlineStr">
        <is>
          <t>Freight DIFOT</t>
        </is>
      </c>
      <c r="E222" s="49" t="n">
        <v>0.95</v>
      </c>
      <c r="F222" s="49" t="n">
        <v>5</v>
      </c>
      <c r="G222" s="49" t="n">
        <v>8</v>
      </c>
      <c r="H222" s="49">
        <f>F222/G222</f>
        <v/>
      </c>
      <c r="I222" s="49">
        <f>IF(H222&gt;=E222,"Yes","No")</f>
        <v/>
      </c>
      <c r="J222" s="49" t="inlineStr">
        <is>
          <t>Below target - investigate root cause and add to next month's action plan</t>
        </is>
      </c>
    </row>
    <row r="223" ht="15" customHeight="1" s="50">
      <c r="A223" s="77" t="n">
        <v>46204</v>
      </c>
      <c r="B223" s="49" t="inlineStr">
        <is>
          <t>Gym Equip</t>
        </is>
      </c>
      <c r="C223" s="49" t="inlineStr">
        <is>
          <t>Freight DIFOT</t>
        </is>
      </c>
      <c r="E223" s="49" t="n">
        <v>0.95</v>
      </c>
      <c r="F223" s="49" t="n">
        <v>3</v>
      </c>
      <c r="G223" s="49" t="n">
        <v>3</v>
      </c>
      <c r="H223" s="49">
        <f>F223/G223</f>
        <v/>
      </c>
      <c r="I223" s="49">
        <f>IF(H223&gt;=E223,"Yes","No")</f>
        <v/>
      </c>
    </row>
    <row r="224" ht="15" customHeight="1" s="50">
      <c r="A224" s="77" t="n">
        <v>46204</v>
      </c>
      <c r="B224" s="49" t="inlineStr">
        <is>
          <t>Interior Images</t>
        </is>
      </c>
      <c r="C224" s="49" t="inlineStr">
        <is>
          <t>Freight DIFOT</t>
        </is>
      </c>
      <c r="E224" s="49" t="n">
        <v>0.95</v>
      </c>
      <c r="F224" s="49" t="n">
        <v>2</v>
      </c>
      <c r="G224" s="49" t="n">
        <v>2</v>
      </c>
      <c r="H224" s="49">
        <f>F224/G224</f>
        <v/>
      </c>
      <c r="I224" s="49">
        <f>IF(H224&gt;=E224,"Yes","No")</f>
        <v/>
      </c>
    </row>
    <row r="225" ht="15" customHeight="1" s="50">
      <c r="A225" s="77" t="n">
        <v>46204</v>
      </c>
      <c r="B225" s="49" t="inlineStr">
        <is>
          <t>Jock Freight - SECA</t>
        </is>
      </c>
      <c r="C225" s="49" t="inlineStr">
        <is>
          <t>Freight DIFOT</t>
        </is>
      </c>
      <c r="E225" s="49" t="n">
        <v>0.95</v>
      </c>
      <c r="F225" s="49" t="n">
        <v>11</v>
      </c>
      <c r="G225" s="49" t="n">
        <v>12</v>
      </c>
      <c r="H225" s="49">
        <f>F225/G225</f>
        <v/>
      </c>
      <c r="I225" s="49">
        <f>IF(H225&gt;=E225,"Yes","No")</f>
        <v/>
      </c>
      <c r="J225" s="49" t="inlineStr">
        <is>
          <t>Below target - investigate root cause and add to next month's action plan</t>
        </is>
      </c>
    </row>
    <row r="226" ht="15" customHeight="1" s="50">
      <c r="A226" s="77" t="n">
        <v>46204</v>
      </c>
      <c r="B226" s="49" t="inlineStr">
        <is>
          <t>Logwin - Sikla</t>
        </is>
      </c>
      <c r="C226" s="49" t="inlineStr">
        <is>
          <t>Freight DIFOT</t>
        </is>
      </c>
      <c r="E226" s="49" t="n">
        <v>0.95</v>
      </c>
      <c r="F226" s="49" t="n">
        <v>5</v>
      </c>
      <c r="G226" s="49" t="n">
        <v>6</v>
      </c>
      <c r="H226" s="49">
        <f>F226/G226</f>
        <v/>
      </c>
      <c r="I226" s="49">
        <f>IF(H226&gt;=E226,"Yes","No")</f>
        <v/>
      </c>
      <c r="J226" s="49" t="inlineStr">
        <is>
          <t>Below target - investigate root cause and add to next month's action plan</t>
        </is>
      </c>
    </row>
    <row r="227" ht="15" customHeight="1" s="50">
      <c r="A227" s="77" t="n">
        <v>46204</v>
      </c>
      <c r="B227" s="49" t="inlineStr">
        <is>
          <t>Made Group NZ</t>
        </is>
      </c>
      <c r="C227" s="49" t="inlineStr">
        <is>
          <t>Freight DIFOT</t>
        </is>
      </c>
      <c r="E227" s="49" t="n">
        <v>0.95</v>
      </c>
      <c r="F227" s="49" t="n">
        <v>14</v>
      </c>
      <c r="G227" s="49" t="n">
        <v>14</v>
      </c>
      <c r="H227" s="49">
        <f>F227/G227</f>
        <v/>
      </c>
      <c r="I227" s="49">
        <f>IF(H227&gt;=E227,"Yes","No")</f>
        <v/>
      </c>
    </row>
    <row r="228" ht="15" customHeight="1" s="50">
      <c r="A228" s="77" t="n">
        <v>46204</v>
      </c>
      <c r="B228" s="49" t="inlineStr">
        <is>
          <t>Oricom</t>
        </is>
      </c>
      <c r="C228" s="49" t="inlineStr">
        <is>
          <t>Freight DIFOT</t>
        </is>
      </c>
      <c r="E228" s="49" t="n">
        <v>0.95</v>
      </c>
      <c r="F228" s="49" t="n">
        <v>113</v>
      </c>
      <c r="G228" s="49" t="n">
        <v>117</v>
      </c>
      <c r="H228" s="49">
        <f>F228/G228</f>
        <v/>
      </c>
      <c r="I228" s="49">
        <f>IF(H228&gt;=E228,"Yes","No")</f>
        <v/>
      </c>
    </row>
    <row r="229" ht="15" customHeight="1" s="50">
      <c r="A229" s="77" t="n">
        <v>46204</v>
      </c>
      <c r="B229" s="49" t="inlineStr">
        <is>
          <t>Purify Me</t>
        </is>
      </c>
      <c r="C229" s="49" t="inlineStr">
        <is>
          <t>Freight DIFOT</t>
        </is>
      </c>
      <c r="E229" s="49" t="n">
        <v>0.95</v>
      </c>
      <c r="F229" s="49" t="n">
        <v>49</v>
      </c>
      <c r="G229" s="49" t="n">
        <v>58</v>
      </c>
      <c r="H229" s="49">
        <f>F229/G229</f>
        <v/>
      </c>
      <c r="I229" s="49">
        <f>IF(H229&gt;=E229,"Yes","No")</f>
        <v/>
      </c>
      <c r="J229" s="49" t="inlineStr">
        <is>
          <t>Below target - investigate root cause and add to next month's action plan</t>
        </is>
      </c>
    </row>
    <row r="230" ht="15" customHeight="1" s="50">
      <c r="A230" s="77" t="n">
        <v>46204</v>
      </c>
      <c r="B230" s="49" t="inlineStr">
        <is>
          <t>Salt Shark</t>
        </is>
      </c>
      <c r="C230" s="49" t="inlineStr">
        <is>
          <t>Freight DIFOT</t>
        </is>
      </c>
      <c r="E230" s="49" t="n">
        <v>0.95</v>
      </c>
      <c r="F230" s="49" t="n">
        <v>10</v>
      </c>
      <c r="G230" s="49" t="n">
        <v>10</v>
      </c>
      <c r="H230" s="49">
        <f>F230/G230</f>
        <v/>
      </c>
      <c r="I230" s="49">
        <f>IF(H230&gt;=E230,"Yes","No")</f>
        <v/>
      </c>
    </row>
    <row r="231" ht="15" customHeight="1" s="50">
      <c r="A231" s="77" t="n">
        <v>46204</v>
      </c>
      <c r="B231" s="49" t="inlineStr">
        <is>
          <t>Stryx</t>
        </is>
      </c>
      <c r="C231" s="49" t="inlineStr">
        <is>
          <t>Freight DIFOT</t>
        </is>
      </c>
      <c r="E231" s="49" t="n">
        <v>0.95</v>
      </c>
      <c r="F231" s="49" t="n">
        <v>13</v>
      </c>
      <c r="G231" s="49" t="n">
        <v>13</v>
      </c>
      <c r="H231" s="49">
        <f>F231/G231</f>
        <v/>
      </c>
      <c r="I231" s="49">
        <f>IF(H231&gt;=E231,"Yes","No")</f>
        <v/>
      </c>
    </row>
    <row r="232" ht="15" customHeight="1" s="50">
      <c r="A232" s="77" t="n">
        <v>46204</v>
      </c>
      <c r="B232" s="49" t="inlineStr">
        <is>
          <t>Vixxen</t>
        </is>
      </c>
      <c r="C232" s="49" t="inlineStr">
        <is>
          <t>Freight DIFOT</t>
        </is>
      </c>
      <c r="E232" s="49" t="n">
        <v>0.95</v>
      </c>
      <c r="F232" s="49" t="n">
        <v>180</v>
      </c>
      <c r="G232" s="49" t="n">
        <v>208</v>
      </c>
      <c r="H232" s="49">
        <f>F232/G232</f>
        <v/>
      </c>
      <c r="I232" s="49">
        <f>IF(H232&gt;=E232,"Yes","No")</f>
        <v/>
      </c>
      <c r="J232" s="49" t="inlineStr">
        <is>
          <t>Below target - investigate root cause and add to next month's action plan</t>
        </is>
      </c>
    </row>
    <row r="233" ht="15" customHeight="1" s="50">
      <c r="A233" s="77" t="n">
        <v>46235</v>
      </c>
      <c r="B233" s="49" t="inlineStr">
        <is>
          <t>Coromandel Mountains Company Limited</t>
        </is>
      </c>
      <c r="C233" s="49" t="inlineStr">
        <is>
          <t>Freight DIFOT</t>
        </is>
      </c>
      <c r="E233" s="49" t="n">
        <v>0.95</v>
      </c>
      <c r="F233" s="49" t="n">
        <v>37</v>
      </c>
      <c r="G233" s="49" t="n">
        <v>41</v>
      </c>
      <c r="H233" s="49">
        <f>F289/G289</f>
        <v/>
      </c>
      <c r="I233" s="49">
        <f>IF(H289&gt;=E289,"Yes","No")</f>
        <v/>
      </c>
      <c r="J233" s="49" t="inlineStr">
        <is>
          <t>Below target - investigate root cause and add to next month's action plan</t>
        </is>
      </c>
    </row>
    <row r="234" ht="15" customHeight="1" s="50">
      <c r="A234" s="77" t="n">
        <v>46235</v>
      </c>
      <c r="B234" s="49" t="inlineStr">
        <is>
          <t>EcoPallets</t>
        </is>
      </c>
      <c r="C234" s="49" t="inlineStr">
        <is>
          <t>Freight DIFOT</t>
        </is>
      </c>
      <c r="E234" s="49" t="n">
        <v>0.95</v>
      </c>
      <c r="F234" s="49" t="n">
        <v>6</v>
      </c>
      <c r="G234" s="49" t="n">
        <v>6</v>
      </c>
      <c r="H234" s="49">
        <f>F290/G290</f>
        <v/>
      </c>
      <c r="I234" s="49">
        <f>IF(H290&gt;=E290,"Yes","No")</f>
        <v/>
      </c>
    </row>
    <row r="235" ht="15" customHeight="1" s="50">
      <c r="A235" s="77" t="n">
        <v>46235</v>
      </c>
      <c r="B235" s="49" t="inlineStr">
        <is>
          <t>Flo &amp; Frankie</t>
        </is>
      </c>
      <c r="C235" s="49" t="inlineStr">
        <is>
          <t>Freight DIFOT</t>
        </is>
      </c>
      <c r="E235" s="49" t="n">
        <v>0.95</v>
      </c>
      <c r="F235" s="49" t="n">
        <v>4</v>
      </c>
      <c r="G235" s="49" t="n">
        <v>6</v>
      </c>
      <c r="H235" s="49">
        <f>F291/G291</f>
        <v/>
      </c>
      <c r="I235" s="49">
        <f>IF(H291&gt;=E291,"Yes","No")</f>
        <v/>
      </c>
      <c r="J235" s="49" t="inlineStr">
        <is>
          <t>Below target - investigate root cause and add to next month's action plan</t>
        </is>
      </c>
    </row>
    <row r="236" ht="15" customHeight="1" s="50">
      <c r="A236" s="77" t="n">
        <v>46235</v>
      </c>
      <c r="B236" s="49" t="inlineStr">
        <is>
          <t>Geodis</t>
        </is>
      </c>
      <c r="C236" s="49" t="inlineStr">
        <is>
          <t>Freight DIFOT</t>
        </is>
      </c>
      <c r="E236" s="49" t="n">
        <v>0.95</v>
      </c>
      <c r="F236" s="49" t="n">
        <v>1</v>
      </c>
      <c r="G236" s="49" t="n">
        <v>1</v>
      </c>
      <c r="H236" s="49">
        <f>F292/G292</f>
        <v/>
      </c>
      <c r="I236" s="49">
        <f>IF(H292&gt;=E292,"Yes","No")</f>
        <v/>
      </c>
    </row>
    <row r="237" ht="15" customHeight="1" s="50">
      <c r="A237" s="77" t="n">
        <v>46235</v>
      </c>
      <c r="B237" s="49" t="inlineStr">
        <is>
          <t>Gym Equip</t>
        </is>
      </c>
      <c r="C237" s="49" t="inlineStr">
        <is>
          <t>Freight DIFOT</t>
        </is>
      </c>
      <c r="E237" s="49" t="n">
        <v>0.95</v>
      </c>
      <c r="F237" s="49" t="n">
        <v>2</v>
      </c>
      <c r="G237" s="49" t="n">
        <v>2</v>
      </c>
      <c r="H237" s="49">
        <f>F293/G293</f>
        <v/>
      </c>
      <c r="I237" s="49">
        <f>IF(H293&gt;=E293,"Yes","No")</f>
        <v/>
      </c>
    </row>
    <row r="238" ht="15" customHeight="1" s="50">
      <c r="A238" s="77" t="n">
        <v>46235</v>
      </c>
      <c r="B238" s="49" t="inlineStr">
        <is>
          <t>Interior Images</t>
        </is>
      </c>
      <c r="C238" s="49" t="inlineStr">
        <is>
          <t>Freight DIFOT</t>
        </is>
      </c>
      <c r="E238" s="49" t="n">
        <v>0.95</v>
      </c>
      <c r="F238" s="49" t="n">
        <v>2</v>
      </c>
      <c r="G238" s="49" t="n">
        <v>2</v>
      </c>
      <c r="H238" s="49">
        <f>F294/G294</f>
        <v/>
      </c>
      <c r="I238" s="49">
        <f>IF(H294&gt;=E294,"Yes","No")</f>
        <v/>
      </c>
    </row>
    <row r="239" ht="15" customHeight="1" s="50">
      <c r="A239" s="77" t="n">
        <v>46235</v>
      </c>
      <c r="B239" s="49" t="inlineStr">
        <is>
          <t>Jock Freight - SECA</t>
        </is>
      </c>
      <c r="C239" s="49" t="inlineStr">
        <is>
          <t>Freight DIFOT</t>
        </is>
      </c>
      <c r="E239" s="49" t="n">
        <v>0.95</v>
      </c>
      <c r="F239" s="49" t="n">
        <v>4</v>
      </c>
      <c r="G239" s="49" t="n">
        <v>6</v>
      </c>
      <c r="H239" s="49">
        <f>F295/G295</f>
        <v/>
      </c>
      <c r="I239" s="49">
        <f>IF(H295&gt;=E295,"Yes","No")</f>
        <v/>
      </c>
      <c r="J239" s="49" t="inlineStr">
        <is>
          <t>Below target - investigate root cause and add to next month's action plan</t>
        </is>
      </c>
    </row>
    <row r="240" ht="15" customHeight="1" s="50">
      <c r="A240" s="77" t="n">
        <v>46235</v>
      </c>
      <c r="B240" s="49" t="inlineStr">
        <is>
          <t>Logwin - Sikla</t>
        </is>
      </c>
      <c r="C240" s="49" t="inlineStr">
        <is>
          <t>Freight DIFOT</t>
        </is>
      </c>
      <c r="E240" s="49" t="n">
        <v>0.95</v>
      </c>
      <c r="F240" s="49" t="n">
        <v>13</v>
      </c>
      <c r="G240" s="49" t="n">
        <v>13</v>
      </c>
      <c r="H240" s="49">
        <f>F296/G296</f>
        <v/>
      </c>
      <c r="I240" s="49">
        <f>IF(H296&gt;=E296,"Yes","No")</f>
        <v/>
      </c>
    </row>
    <row r="241" ht="15" customHeight="1" s="50">
      <c r="A241" s="77" t="n">
        <v>46235</v>
      </c>
      <c r="B241" s="49" t="inlineStr">
        <is>
          <t>Made Group NZ</t>
        </is>
      </c>
      <c r="C241" s="49" t="inlineStr">
        <is>
          <t>Freight DIFOT</t>
        </is>
      </c>
      <c r="E241" s="49" t="n">
        <v>0.95</v>
      </c>
      <c r="F241" s="49" t="n">
        <v>1</v>
      </c>
      <c r="G241" s="49" t="n">
        <v>1</v>
      </c>
      <c r="H241" s="49">
        <f>F297/G297</f>
        <v/>
      </c>
      <c r="I241" s="49">
        <f>IF(H297&gt;=E297,"Yes","No")</f>
        <v/>
      </c>
    </row>
    <row r="242" ht="15" customHeight="1" s="50">
      <c r="A242" s="77" t="n">
        <v>46235</v>
      </c>
      <c r="B242" s="49" t="inlineStr">
        <is>
          <t>Madigan Freight Services</t>
        </is>
      </c>
      <c r="C242" s="49" t="inlineStr">
        <is>
          <t>Freight DIFOT</t>
        </is>
      </c>
      <c r="E242" s="49" t="n">
        <v>0.95</v>
      </c>
      <c r="F242" s="49" t="n">
        <v>1</v>
      </c>
      <c r="G242" s="49" t="n">
        <v>1</v>
      </c>
      <c r="H242" s="49">
        <f>F298/G298</f>
        <v/>
      </c>
      <c r="I242" s="49">
        <f>IF(H298&gt;=E298,"Yes","No")</f>
        <v/>
      </c>
    </row>
    <row r="243" ht="15" customHeight="1" s="50">
      <c r="A243" s="77" t="n">
        <v>46235</v>
      </c>
      <c r="B243" s="49" t="inlineStr">
        <is>
          <t>Method Global</t>
        </is>
      </c>
      <c r="C243" s="49" t="inlineStr">
        <is>
          <t>Freight DIFOT</t>
        </is>
      </c>
      <c r="E243" s="49" t="n">
        <v>0.95</v>
      </c>
      <c r="F243" s="49" t="n">
        <v>1</v>
      </c>
      <c r="G243" s="49" t="n">
        <v>1</v>
      </c>
      <c r="H243" s="49">
        <f>F299/G299</f>
        <v/>
      </c>
      <c r="I243" s="49">
        <f>IF(H299&gt;=E299,"Yes","No")</f>
        <v/>
      </c>
    </row>
    <row r="244" ht="15" customHeight="1" s="50">
      <c r="A244" s="77" t="n">
        <v>46235</v>
      </c>
      <c r="B244" s="49" t="inlineStr">
        <is>
          <t>Oricom</t>
        </is>
      </c>
      <c r="C244" s="49" t="inlineStr">
        <is>
          <t>Freight DIFOT</t>
        </is>
      </c>
      <c r="E244" s="49" t="n">
        <v>0.95</v>
      </c>
      <c r="F244" s="49" t="n">
        <v>79</v>
      </c>
      <c r="G244" s="49" t="n">
        <v>85</v>
      </c>
      <c r="H244" s="49">
        <f>F300/G300</f>
        <v/>
      </c>
      <c r="I244" s="49">
        <f>IF(H300&gt;=E300,"Yes","No")</f>
        <v/>
      </c>
      <c r="J244" s="49" t="inlineStr">
        <is>
          <t>Below target - investigate root cause and add to next month's action plan</t>
        </is>
      </c>
    </row>
    <row r="245" ht="15" customHeight="1" s="50">
      <c r="A245" s="77" t="n">
        <v>46235</v>
      </c>
      <c r="B245" s="49" t="inlineStr">
        <is>
          <t>Purify Me</t>
        </is>
      </c>
      <c r="C245" s="49" t="inlineStr">
        <is>
          <t>Freight DIFOT</t>
        </is>
      </c>
      <c r="E245" s="49" t="n">
        <v>0.95</v>
      </c>
      <c r="F245" s="49" t="n">
        <v>44</v>
      </c>
      <c r="G245" s="49" t="n">
        <v>50</v>
      </c>
      <c r="H245" s="49">
        <f>F301/G301</f>
        <v/>
      </c>
      <c r="I245" s="49">
        <f>IF(H301&gt;=E301,"Yes","No")</f>
        <v/>
      </c>
      <c r="J245" s="49" t="inlineStr">
        <is>
          <t>Below target - investigate root cause and add to next month's action plan</t>
        </is>
      </c>
    </row>
    <row r="246" ht="15" customHeight="1" s="50">
      <c r="A246" s="77" t="n">
        <v>46235</v>
      </c>
      <c r="B246" s="49" t="inlineStr">
        <is>
          <t>Salt Shark</t>
        </is>
      </c>
      <c r="C246" s="49" t="inlineStr">
        <is>
          <t>Freight DIFOT</t>
        </is>
      </c>
      <c r="E246" s="49" t="n">
        <v>0.95</v>
      </c>
      <c r="F246" s="49" t="n">
        <v>24</v>
      </c>
      <c r="G246" s="49" t="n">
        <v>25</v>
      </c>
      <c r="H246" s="49">
        <f>F302/G302</f>
        <v/>
      </c>
      <c r="I246" s="49">
        <f>IF(H302&gt;=E302,"Yes","No")</f>
        <v/>
      </c>
    </row>
    <row r="247" ht="15" customHeight="1" s="50">
      <c r="A247" s="77" t="n">
        <v>46235</v>
      </c>
      <c r="B247" s="49" t="inlineStr">
        <is>
          <t>Simply Clean</t>
        </is>
      </c>
      <c r="C247" s="49" t="inlineStr">
        <is>
          <t>Freight DIFOT</t>
        </is>
      </c>
      <c r="E247" s="49" t="n">
        <v>0.95</v>
      </c>
      <c r="F247" s="49" t="n">
        <v>67</v>
      </c>
      <c r="G247" s="49" t="n">
        <v>71</v>
      </c>
      <c r="H247" s="49">
        <f>F303/G303</f>
        <v/>
      </c>
      <c r="I247" s="49">
        <f>IF(H303&gt;=E303,"Yes","No")</f>
        <v/>
      </c>
      <c r="J247" s="49" t="inlineStr">
        <is>
          <t>Below target - investigate root cause and add to next month's action plan</t>
        </is>
      </c>
    </row>
    <row r="248" ht="15" customHeight="1" s="50">
      <c r="A248" s="77" t="n">
        <v>46235</v>
      </c>
      <c r="B248" s="49" t="inlineStr">
        <is>
          <t>Stryx</t>
        </is>
      </c>
      <c r="C248" s="49" t="inlineStr">
        <is>
          <t>Freight DIFOT</t>
        </is>
      </c>
      <c r="E248" s="49" t="n">
        <v>0.95</v>
      </c>
      <c r="F248" s="49" t="n">
        <v>10</v>
      </c>
      <c r="G248" s="49" t="n">
        <v>10</v>
      </c>
      <c r="H248" s="49">
        <f>F304/G304</f>
        <v/>
      </c>
      <c r="I248" s="49">
        <f>IF(H304&gt;=E304,"Yes","No")</f>
        <v/>
      </c>
    </row>
    <row r="249" ht="15" customHeight="1" s="50">
      <c r="A249" s="77" t="n">
        <v>46235</v>
      </c>
      <c r="B249" s="49" t="inlineStr">
        <is>
          <t>Vixxen</t>
        </is>
      </c>
      <c r="C249" s="49" t="inlineStr">
        <is>
          <t>Freight DIFOT</t>
        </is>
      </c>
      <c r="E249" s="49" t="n">
        <v>0.95</v>
      </c>
      <c r="F249" s="49" t="n">
        <v>209</v>
      </c>
      <c r="G249" s="49" t="n">
        <v>230</v>
      </c>
      <c r="H249" s="49">
        <f>F305/G305</f>
        <v/>
      </c>
      <c r="I249" s="49">
        <f>IF(H305&gt;=E305,"Yes","No")</f>
        <v/>
      </c>
      <c r="J249" s="49" t="inlineStr">
        <is>
          <t>Below target - investigate root cause and add to next month's action plan</t>
        </is>
      </c>
    </row>
    <row r="250" ht="15" customHeight="1" s="50">
      <c r="A250" s="75" t="n">
        <v>46235</v>
      </c>
      <c r="B250" s="49" t="inlineStr">
        <is>
          <t>Aleger Studio</t>
        </is>
      </c>
      <c r="C250" s="49" t="inlineStr">
        <is>
          <t>Dock to Stock</t>
        </is>
      </c>
      <c r="E250" s="76" t="n">
        <v>0.95</v>
      </c>
      <c r="F250" s="49" t="n">
        <v>2</v>
      </c>
      <c r="G250" s="49" t="n">
        <v>2</v>
      </c>
      <c r="H250" s="76">
        <f>F250/G250</f>
        <v/>
      </c>
      <c r="I250" s="49">
        <f>IF(H250&gt;=E250,"Yes","No")</f>
        <v/>
      </c>
    </row>
    <row r="251" ht="15" customHeight="1" s="50">
      <c r="A251" s="75" t="n">
        <v>46235</v>
      </c>
      <c r="B251" s="49" t="inlineStr">
        <is>
          <t>Coromandel Mountains Company Limited</t>
        </is>
      </c>
      <c r="C251" s="49" t="inlineStr">
        <is>
          <t>Dock to Stock</t>
        </is>
      </c>
      <c r="E251" s="76" t="n">
        <v>0.95</v>
      </c>
      <c r="F251" s="49" t="n">
        <v>2</v>
      </c>
      <c r="G251" s="49" t="n">
        <v>2</v>
      </c>
      <c r="H251" s="76">
        <f>F251/G251</f>
        <v/>
      </c>
      <c r="I251" s="49">
        <f>IF(H251&gt;=E251,"Yes","No")</f>
        <v/>
      </c>
    </row>
    <row r="252" ht="15" customHeight="1" s="50">
      <c r="A252" s="75" t="n">
        <v>46235</v>
      </c>
      <c r="B252" s="49" t="inlineStr">
        <is>
          <t>EcoPallets</t>
        </is>
      </c>
      <c r="C252" s="49" t="inlineStr">
        <is>
          <t>Dock to Stock</t>
        </is>
      </c>
      <c r="E252" s="76" t="n">
        <v>0.95</v>
      </c>
      <c r="F252" s="49" t="n">
        <v>1</v>
      </c>
      <c r="G252" s="49" t="n">
        <v>1</v>
      </c>
      <c r="H252" s="76">
        <f>F252/G252</f>
        <v/>
      </c>
      <c r="I252" s="49">
        <f>IF(H252&gt;=E252,"Yes","No")</f>
        <v/>
      </c>
    </row>
    <row r="253" ht="15" customHeight="1" s="50">
      <c r="A253" s="75" t="n">
        <v>46235</v>
      </c>
      <c r="B253" s="49" t="inlineStr">
        <is>
          <t>Flo &amp; Frankie</t>
        </is>
      </c>
      <c r="C253" s="49" t="inlineStr">
        <is>
          <t>Dock to Stock</t>
        </is>
      </c>
      <c r="E253" s="76" t="n">
        <v>0.95</v>
      </c>
      <c r="F253" s="49" t="n">
        <v>17</v>
      </c>
      <c r="G253" s="49" t="n">
        <v>17</v>
      </c>
      <c r="H253" s="76">
        <f>F253/G253</f>
        <v/>
      </c>
      <c r="I253" s="49">
        <f>IF(H253&gt;=E253,"Yes","No")</f>
        <v/>
      </c>
    </row>
    <row r="254" ht="15" customHeight="1" s="50">
      <c r="A254" s="75" t="n">
        <v>46235</v>
      </c>
      <c r="B254" s="49" t="inlineStr">
        <is>
          <t>Gym Equip</t>
        </is>
      </c>
      <c r="C254" s="49" t="inlineStr">
        <is>
          <t>Dock to Stock</t>
        </is>
      </c>
      <c r="E254" s="76" t="n">
        <v>0.95</v>
      </c>
      <c r="F254" s="49" t="n">
        <v>1</v>
      </c>
      <c r="G254" s="49" t="n">
        <v>1</v>
      </c>
      <c r="H254" s="76">
        <f>F254/G254</f>
        <v/>
      </c>
      <c r="I254" s="49">
        <f>IF(H254&gt;=E254,"Yes","No")</f>
        <v/>
      </c>
    </row>
    <row r="255" ht="15" customHeight="1" s="50">
      <c r="A255" s="75" t="n">
        <v>46235</v>
      </c>
      <c r="B255" s="49" t="inlineStr">
        <is>
          <t>Logwin - Sikla</t>
        </is>
      </c>
      <c r="C255" s="49" t="inlineStr">
        <is>
          <t>Dock to Stock</t>
        </is>
      </c>
      <c r="E255" s="76" t="n">
        <v>0.95</v>
      </c>
      <c r="F255" s="49" t="n">
        <v>2</v>
      </c>
      <c r="G255" s="49" t="n">
        <v>3</v>
      </c>
      <c r="H255" s="76">
        <f>F255/G255</f>
        <v/>
      </c>
      <c r="I255" s="49">
        <f>IF(H255&gt;=E255,"Yes","No")</f>
        <v/>
      </c>
      <c r="J255" s="49" t="inlineStr">
        <is>
          <t>Below target - investigate root cause and add to next month's action plan</t>
        </is>
      </c>
    </row>
    <row r="256" ht="15" customHeight="1" s="50">
      <c r="A256" s="75" t="n">
        <v>46235</v>
      </c>
      <c r="B256" s="49" t="inlineStr">
        <is>
          <t>Made Group NZ</t>
        </is>
      </c>
      <c r="C256" s="49" t="inlineStr">
        <is>
          <t>Dock to Stock</t>
        </is>
      </c>
      <c r="E256" s="76" t="n">
        <v>0.95</v>
      </c>
      <c r="F256" s="49" t="n">
        <v>10</v>
      </c>
      <c r="G256" s="49" t="n">
        <v>10</v>
      </c>
      <c r="H256" s="76">
        <f>F256/G256</f>
        <v/>
      </c>
      <c r="I256" s="49">
        <f>IF(H256&gt;=E256,"Yes","No")</f>
        <v/>
      </c>
    </row>
    <row r="257" ht="15" customHeight="1" s="50">
      <c r="A257" s="75" t="n">
        <v>46235</v>
      </c>
      <c r="B257" s="49" t="inlineStr">
        <is>
          <t>May Eleven NZ</t>
        </is>
      </c>
      <c r="C257" s="49" t="inlineStr">
        <is>
          <t>Dock to Stock</t>
        </is>
      </c>
      <c r="E257" s="76" t="n">
        <v>0.95</v>
      </c>
      <c r="F257" s="49" t="n">
        <v>1</v>
      </c>
      <c r="G257" s="49" t="n">
        <v>1</v>
      </c>
      <c r="H257" s="76">
        <f>F257/G257</f>
        <v/>
      </c>
      <c r="I257" s="49">
        <f>IF(H257&gt;=E257,"Yes","No")</f>
        <v/>
      </c>
    </row>
    <row r="258" ht="15" customHeight="1" s="50">
      <c r="A258" s="75" t="n">
        <v>46235</v>
      </c>
      <c r="B258" s="49" t="inlineStr">
        <is>
          <t>Oceanbridge</t>
        </is>
      </c>
      <c r="C258" s="49" t="inlineStr">
        <is>
          <t>Dock to Stock</t>
        </is>
      </c>
      <c r="E258" s="76" t="n">
        <v>0.95</v>
      </c>
      <c r="F258" s="49" t="n">
        <v>1</v>
      </c>
      <c r="G258" s="49" t="n">
        <v>1</v>
      </c>
      <c r="H258" s="76">
        <f>F258/G258</f>
        <v/>
      </c>
      <c r="I258" s="49">
        <f>IF(H258&gt;=E258,"Yes","No")</f>
        <v/>
      </c>
    </row>
    <row r="259" ht="15" customHeight="1" s="50">
      <c r="A259" s="75" t="n">
        <v>46235</v>
      </c>
      <c r="B259" s="49" t="inlineStr">
        <is>
          <t>Oricom</t>
        </is>
      </c>
      <c r="C259" s="49" t="inlineStr">
        <is>
          <t>Dock to Stock</t>
        </is>
      </c>
      <c r="E259" s="76" t="n">
        <v>0.95</v>
      </c>
      <c r="F259" s="49" t="n">
        <v>5</v>
      </c>
      <c r="G259" s="49" t="n">
        <v>5</v>
      </c>
      <c r="H259" s="76">
        <f>F259/G259</f>
        <v/>
      </c>
      <c r="I259" s="49">
        <f>IF(H259&gt;=E259,"Yes","No")</f>
        <v/>
      </c>
    </row>
    <row r="260" ht="15" customHeight="1" s="50">
      <c r="A260" s="75" t="n">
        <v>46235</v>
      </c>
      <c r="B260" s="49" t="inlineStr">
        <is>
          <t>Salt Shark</t>
        </is>
      </c>
      <c r="C260" s="49" t="inlineStr">
        <is>
          <t>Dock to Stock</t>
        </is>
      </c>
      <c r="E260" s="76" t="n">
        <v>0.95</v>
      </c>
      <c r="F260" s="49" t="n">
        <v>1</v>
      </c>
      <c r="G260" s="49" t="n">
        <v>1</v>
      </c>
      <c r="H260" s="76">
        <f>F260/G260</f>
        <v/>
      </c>
      <c r="I260" s="49">
        <f>IF(H260&gt;=E260,"Yes","No")</f>
        <v/>
      </c>
    </row>
    <row r="261" ht="15" customHeight="1" s="50">
      <c r="A261" s="75" t="n">
        <v>46235</v>
      </c>
      <c r="B261" s="49" t="inlineStr">
        <is>
          <t>Simply Clean</t>
        </is>
      </c>
      <c r="C261" s="49" t="inlineStr">
        <is>
          <t>Dock to Stock</t>
        </is>
      </c>
      <c r="E261" s="76" t="n">
        <v>0.95</v>
      </c>
      <c r="F261" s="49" t="n">
        <v>3</v>
      </c>
      <c r="G261" s="49" t="n">
        <v>3</v>
      </c>
      <c r="H261" s="76">
        <f>F261/G261</f>
        <v/>
      </c>
      <c r="I261" s="49">
        <f>IF(H261&gt;=E261,"Yes","No")</f>
        <v/>
      </c>
    </row>
    <row r="262" ht="15" customHeight="1" s="50">
      <c r="A262" s="75" t="n">
        <v>46235</v>
      </c>
      <c r="B262" s="49" t="inlineStr">
        <is>
          <t>Stryx</t>
        </is>
      </c>
      <c r="C262" s="49" t="inlineStr">
        <is>
          <t>Dock to Stock</t>
        </is>
      </c>
      <c r="E262" s="76" t="n">
        <v>0.95</v>
      </c>
      <c r="F262" s="49" t="n">
        <v>1</v>
      </c>
      <c r="G262" s="49" t="n">
        <v>1</v>
      </c>
      <c r="H262" s="76">
        <f>F262/G262</f>
        <v/>
      </c>
      <c r="I262" s="49">
        <f>IF(H262&gt;=E262,"Yes","No")</f>
        <v/>
      </c>
    </row>
    <row r="263" ht="15" customHeight="1" s="50">
      <c r="A263" s="75" t="n">
        <v>46235</v>
      </c>
      <c r="B263" s="49" t="inlineStr">
        <is>
          <t>Tesx</t>
        </is>
      </c>
      <c r="C263" s="49" t="inlineStr">
        <is>
          <t>Dock to Stock</t>
        </is>
      </c>
      <c r="E263" s="76" t="n">
        <v>0.95</v>
      </c>
      <c r="F263" s="49" t="n">
        <v>1</v>
      </c>
      <c r="G263" s="49" t="n">
        <v>1</v>
      </c>
      <c r="H263" s="76">
        <f>F263/G263</f>
        <v/>
      </c>
      <c r="I263" s="49">
        <f>IF(H263&gt;=E263,"Yes","No")</f>
        <v/>
      </c>
    </row>
    <row r="264" ht="15" customHeight="1" s="50">
      <c r="A264" s="75" t="n">
        <v>46235</v>
      </c>
      <c r="B264" s="49" t="inlineStr">
        <is>
          <t>Vixxen</t>
        </is>
      </c>
      <c r="C264" s="49" t="inlineStr">
        <is>
          <t>Dock to Stock</t>
        </is>
      </c>
      <c r="E264" s="76" t="n">
        <v>0.95</v>
      </c>
      <c r="F264" s="49" t="n">
        <v>1</v>
      </c>
      <c r="G264" s="49" t="n">
        <v>1</v>
      </c>
      <c r="H264" s="76">
        <f>F264/G264</f>
        <v/>
      </c>
      <c r="I264" s="49">
        <f>IF(H264&gt;=E264,"Yes","No")</f>
        <v/>
      </c>
    </row>
    <row r="265" ht="15" customHeight="1" s="50">
      <c r="A265" s="75" t="n">
        <v>46235</v>
      </c>
      <c r="B265" s="49" t="inlineStr">
        <is>
          <t>Aleger Studio</t>
        </is>
      </c>
      <c r="C265" s="49" t="inlineStr">
        <is>
          <t>Order Cut Off</t>
        </is>
      </c>
      <c r="E265" s="76" t="n">
        <v>0.95</v>
      </c>
      <c r="F265" s="49" t="n">
        <v>3</v>
      </c>
      <c r="G265" s="49" t="n">
        <v>3</v>
      </c>
      <c r="H265" s="76">
        <f>F265/G265</f>
        <v/>
      </c>
      <c r="I265" s="49">
        <f>IF(H265&gt;=E265,"Yes","No")</f>
        <v/>
      </c>
    </row>
    <row r="266" ht="15" customHeight="1" s="50">
      <c r="A266" s="75" t="n">
        <v>46235</v>
      </c>
      <c r="B266" s="49" t="inlineStr">
        <is>
          <t>Coromandel Mountains Company Limited</t>
        </is>
      </c>
      <c r="C266" s="49" t="inlineStr">
        <is>
          <t>Order Cut Off</t>
        </is>
      </c>
      <c r="E266" s="76" t="n">
        <v>0.95</v>
      </c>
      <c r="F266" s="49" t="n">
        <v>66</v>
      </c>
      <c r="G266" s="49" t="n">
        <v>66</v>
      </c>
      <c r="H266" s="76">
        <f>F266/G266</f>
        <v/>
      </c>
      <c r="I266" s="49">
        <f>IF(H266&gt;=E266,"Yes","No")</f>
        <v/>
      </c>
    </row>
    <row r="267" ht="15" customHeight="1" s="50">
      <c r="A267" s="75" t="n">
        <v>46235</v>
      </c>
      <c r="B267" s="49" t="inlineStr">
        <is>
          <t>EcoPallets</t>
        </is>
      </c>
      <c r="C267" s="49" t="inlineStr">
        <is>
          <t>Order Cut Off</t>
        </is>
      </c>
      <c r="E267" s="76" t="n">
        <v>0.95</v>
      </c>
      <c r="F267" s="49" t="n">
        <v>8</v>
      </c>
      <c r="G267" s="49" t="n">
        <v>10</v>
      </c>
      <c r="H267" s="76">
        <f>F267/G267</f>
        <v/>
      </c>
      <c r="I267" s="49">
        <f>IF(H267&gt;=E267,"Yes","No")</f>
        <v/>
      </c>
      <c r="J267" s="49" t="inlineStr">
        <is>
          <t>Below target - investigate root cause and add to next month's action plan</t>
        </is>
      </c>
    </row>
    <row r="268" ht="15" customHeight="1" s="50">
      <c r="A268" s="75" t="n">
        <v>46235</v>
      </c>
      <c r="B268" s="49" t="inlineStr">
        <is>
          <t>Flo &amp; Frankie</t>
        </is>
      </c>
      <c r="C268" s="49" t="inlineStr">
        <is>
          <t>Order Cut Off</t>
        </is>
      </c>
      <c r="E268" s="76" t="n">
        <v>0.95</v>
      </c>
      <c r="F268" s="49" t="n">
        <v>17</v>
      </c>
      <c r="G268" s="49" t="n">
        <v>17</v>
      </c>
      <c r="H268" s="76">
        <f>F268/G268</f>
        <v/>
      </c>
      <c r="I268" s="49">
        <f>IF(H268&gt;=E268,"Yes","No")</f>
        <v/>
      </c>
    </row>
    <row r="269" ht="15" customHeight="1" s="50">
      <c r="A269" s="75" t="n">
        <v>46235</v>
      </c>
      <c r="B269" s="49" t="inlineStr">
        <is>
          <t>Gym Equip</t>
        </is>
      </c>
      <c r="C269" s="49" t="inlineStr">
        <is>
          <t>Order Cut Off</t>
        </is>
      </c>
      <c r="E269" s="76" t="n">
        <v>0.95</v>
      </c>
      <c r="F269" s="49" t="n">
        <v>10</v>
      </c>
      <c r="G269" s="49" t="n">
        <v>10</v>
      </c>
      <c r="H269" s="76">
        <f>F269/G269</f>
        <v/>
      </c>
      <c r="I269" s="49">
        <f>IF(H269&gt;=E269,"Yes","No")</f>
        <v/>
      </c>
    </row>
    <row r="270" ht="15" customHeight="1" s="50">
      <c r="A270" s="75" t="n">
        <v>46235</v>
      </c>
      <c r="B270" s="49" t="inlineStr">
        <is>
          <t>Interior Images</t>
        </is>
      </c>
      <c r="C270" s="49" t="inlineStr">
        <is>
          <t>Order Cut Off</t>
        </is>
      </c>
      <c r="E270" s="76" t="n">
        <v>0.95</v>
      </c>
      <c r="F270" s="49" t="n">
        <v>4</v>
      </c>
      <c r="G270" s="49" t="n">
        <v>7</v>
      </c>
      <c r="H270" s="76">
        <f>F270/G270</f>
        <v/>
      </c>
      <c r="I270" s="49">
        <f>IF(H270&gt;=E270,"Yes","No")</f>
        <v/>
      </c>
      <c r="J270" s="49" t="inlineStr">
        <is>
          <t>Below target - investigate root cause and add to next month's action plan</t>
        </is>
      </c>
    </row>
    <row r="271" ht="15" customHeight="1" s="50">
      <c r="A271" s="75" t="n">
        <v>46235</v>
      </c>
      <c r="B271" s="49" t="inlineStr">
        <is>
          <t>Jock Freight - SECA</t>
        </is>
      </c>
      <c r="C271" s="49" t="inlineStr">
        <is>
          <t>Order Cut Off</t>
        </is>
      </c>
      <c r="E271" s="76" t="n">
        <v>0.95</v>
      </c>
      <c r="F271" s="49" t="n">
        <v>17</v>
      </c>
      <c r="G271" s="49" t="n">
        <v>18</v>
      </c>
      <c r="H271" s="76">
        <f>F271/G271</f>
        <v/>
      </c>
      <c r="I271" s="49">
        <f>IF(H271&gt;=E271,"Yes","No")</f>
        <v/>
      </c>
      <c r="J271" s="49" t="inlineStr">
        <is>
          <t>Below target - investigate root cause and add to next month's action plan</t>
        </is>
      </c>
    </row>
    <row r="272" ht="15" customHeight="1" s="50">
      <c r="A272" s="75" t="n">
        <v>46235</v>
      </c>
      <c r="B272" s="49" t="inlineStr">
        <is>
          <t>Logwin - Sikla</t>
        </is>
      </c>
      <c r="C272" s="49" t="inlineStr">
        <is>
          <t>Order Cut Off</t>
        </is>
      </c>
      <c r="E272" s="76" t="n">
        <v>0.95</v>
      </c>
      <c r="F272" s="49" t="n">
        <v>17</v>
      </c>
      <c r="G272" s="49" t="n">
        <v>17</v>
      </c>
      <c r="H272" s="76">
        <f>F272/G272</f>
        <v/>
      </c>
      <c r="I272" s="49">
        <f>IF(H272&gt;=E272,"Yes","No")</f>
        <v/>
      </c>
    </row>
    <row r="273" ht="15" customHeight="1" s="50">
      <c r="A273" s="75" t="n">
        <v>46235</v>
      </c>
      <c r="B273" s="49" t="inlineStr">
        <is>
          <t>Made Group NZ</t>
        </is>
      </c>
      <c r="C273" s="49" t="inlineStr">
        <is>
          <t>Order Cut Off</t>
        </is>
      </c>
      <c r="E273" s="76" t="n">
        <v>0.95</v>
      </c>
      <c r="F273" s="49" t="n">
        <v>1</v>
      </c>
      <c r="G273" s="49" t="n">
        <v>1</v>
      </c>
      <c r="H273" s="76">
        <f>F273/G273</f>
        <v/>
      </c>
      <c r="I273" s="49">
        <f>IF(H273&gt;=E273,"Yes","No")</f>
        <v/>
      </c>
    </row>
    <row r="274" ht="15" customHeight="1" s="50">
      <c r="A274" s="75" t="n">
        <v>46235</v>
      </c>
      <c r="B274" s="49" t="inlineStr">
        <is>
          <t>Madigan Freight Services</t>
        </is>
      </c>
      <c r="C274" s="49" t="inlineStr">
        <is>
          <t>Order Cut Off</t>
        </is>
      </c>
      <c r="E274" s="76" t="n">
        <v>0.95</v>
      </c>
      <c r="F274" s="49" t="n">
        <v>1</v>
      </c>
      <c r="G274" s="49" t="n">
        <v>1</v>
      </c>
      <c r="H274" s="76">
        <f>F274/G274</f>
        <v/>
      </c>
      <c r="I274" s="49">
        <f>IF(H274&gt;=E274,"Yes","No")</f>
        <v/>
      </c>
    </row>
    <row r="275" ht="15" customHeight="1" s="50">
      <c r="A275" s="75" t="n">
        <v>46235</v>
      </c>
      <c r="B275" s="49" t="inlineStr">
        <is>
          <t>May Eleven NZ</t>
        </is>
      </c>
      <c r="C275" s="49" t="inlineStr">
        <is>
          <t>Order Cut Off</t>
        </is>
      </c>
      <c r="E275" s="76" t="n">
        <v>0.95</v>
      </c>
      <c r="F275" s="49" t="n">
        <v>1</v>
      </c>
      <c r="G275" s="49" t="n">
        <v>1</v>
      </c>
      <c r="H275" s="76">
        <f>F275/G275</f>
        <v/>
      </c>
      <c r="I275" s="49">
        <f>IF(H275&gt;=E275,"Yes","No")</f>
        <v/>
      </c>
    </row>
    <row r="276" ht="15" customHeight="1" s="50">
      <c r="A276" s="75" t="n">
        <v>46235</v>
      </c>
      <c r="B276" s="49" t="inlineStr">
        <is>
          <t>Method Global</t>
        </is>
      </c>
      <c r="C276" s="49" t="inlineStr">
        <is>
          <t>Order Cut Off</t>
        </is>
      </c>
      <c r="E276" s="76" t="n">
        <v>0.95</v>
      </c>
      <c r="F276" s="49" t="n">
        <v>1</v>
      </c>
      <c r="G276" s="49" t="n">
        <v>1</v>
      </c>
      <c r="H276" s="76">
        <f>F276/G276</f>
        <v/>
      </c>
      <c r="I276" s="49">
        <f>IF(H276&gt;=E276,"Yes","No")</f>
        <v/>
      </c>
    </row>
    <row r="277" ht="15" customHeight="1" s="50">
      <c r="A277" s="75" t="n">
        <v>46235</v>
      </c>
      <c r="B277" s="49" t="inlineStr">
        <is>
          <t>Oricom</t>
        </is>
      </c>
      <c r="C277" s="49" t="inlineStr">
        <is>
          <t>Order Cut Off</t>
        </is>
      </c>
      <c r="E277" s="76" t="n">
        <v>0.95</v>
      </c>
      <c r="F277" s="49" t="n">
        <v>114</v>
      </c>
      <c r="G277" s="49" t="n">
        <v>118</v>
      </c>
      <c r="H277" s="76">
        <f>F277/G277</f>
        <v/>
      </c>
      <c r="I277" s="49">
        <f>IF(H277&gt;=E277,"Yes","No")</f>
        <v/>
      </c>
    </row>
    <row r="278" ht="15" customHeight="1" s="50">
      <c r="A278" s="75" t="n">
        <v>46235</v>
      </c>
      <c r="B278" s="49" t="inlineStr">
        <is>
          <t>Purify Me</t>
        </is>
      </c>
      <c r="C278" s="49" t="inlineStr">
        <is>
          <t>Order Cut Off</t>
        </is>
      </c>
      <c r="E278" s="76" t="n">
        <v>0.95</v>
      </c>
      <c r="F278" s="49" t="n">
        <v>77</v>
      </c>
      <c r="G278" s="49" t="n">
        <v>78</v>
      </c>
      <c r="H278" s="76">
        <f>F278/G278</f>
        <v/>
      </c>
      <c r="I278" s="49">
        <f>IF(H278&gt;=E278,"Yes","No")</f>
        <v/>
      </c>
    </row>
    <row r="279" ht="15" customHeight="1" s="50">
      <c r="A279" s="75" t="n">
        <v>46235</v>
      </c>
      <c r="B279" s="49" t="inlineStr">
        <is>
          <t>Salt Shark</t>
        </is>
      </c>
      <c r="C279" s="49" t="inlineStr">
        <is>
          <t>Order Cut Off</t>
        </is>
      </c>
      <c r="E279" s="76" t="n">
        <v>0.95</v>
      </c>
      <c r="F279" s="49" t="n">
        <v>68</v>
      </c>
      <c r="G279" s="49" t="n">
        <v>68</v>
      </c>
      <c r="H279" s="76">
        <f>F279/G279</f>
        <v/>
      </c>
      <c r="I279" s="49">
        <f>IF(H279&gt;=E279,"Yes","No")</f>
        <v/>
      </c>
    </row>
    <row r="280" ht="15" customHeight="1" s="50">
      <c r="A280" s="75" t="n">
        <v>46235</v>
      </c>
      <c r="B280" s="49" t="inlineStr">
        <is>
          <t>Samsung Batteries CP</t>
        </is>
      </c>
      <c r="C280" s="49" t="inlineStr">
        <is>
          <t>Order Cut Off</t>
        </is>
      </c>
      <c r="E280" s="76" t="n">
        <v>0.95</v>
      </c>
      <c r="F280" s="49" t="n">
        <v>1</v>
      </c>
      <c r="G280" s="49" t="n">
        <v>1</v>
      </c>
      <c r="H280" s="76">
        <f>F280/G280</f>
        <v/>
      </c>
      <c r="I280" s="49">
        <f>IF(H280&gt;=E280,"Yes","No")</f>
        <v/>
      </c>
    </row>
    <row r="281" ht="15" customHeight="1" s="50">
      <c r="A281" s="75" t="n">
        <v>46235</v>
      </c>
      <c r="B281" s="49" t="inlineStr">
        <is>
          <t>Simply Clean</t>
        </is>
      </c>
      <c r="C281" s="49" t="inlineStr">
        <is>
          <t>Order Cut Off</t>
        </is>
      </c>
      <c r="E281" s="76" t="n">
        <v>0.95</v>
      </c>
      <c r="F281" s="49" t="n">
        <v>154</v>
      </c>
      <c r="G281" s="49" t="n">
        <v>161</v>
      </c>
      <c r="H281" s="76">
        <f>F281/G281</f>
        <v/>
      </c>
      <c r="I281" s="49">
        <f>IF(H281&gt;=E281,"Yes","No")</f>
        <v/>
      </c>
    </row>
    <row r="282" ht="15" customHeight="1" s="50">
      <c r="A282" s="75" t="n">
        <v>46235</v>
      </c>
      <c r="B282" s="49" t="inlineStr">
        <is>
          <t>Stryx</t>
        </is>
      </c>
      <c r="C282" s="49" t="inlineStr">
        <is>
          <t>Order Cut Off</t>
        </is>
      </c>
      <c r="E282" s="76" t="n">
        <v>0.95</v>
      </c>
      <c r="F282" s="49" t="n">
        <v>35</v>
      </c>
      <c r="G282" s="49" t="n">
        <v>35</v>
      </c>
      <c r="H282" s="76">
        <f>F282/G282</f>
        <v/>
      </c>
      <c r="I282" s="49">
        <f>IF(H282&gt;=E282,"Yes","No")</f>
        <v/>
      </c>
    </row>
    <row r="283" ht="15" customHeight="1" s="50">
      <c r="A283" s="75" t="n">
        <v>46235</v>
      </c>
      <c r="B283" s="49" t="inlineStr">
        <is>
          <t>Vixxen</t>
        </is>
      </c>
      <c r="C283" s="49" t="inlineStr">
        <is>
          <t>Order Cut Off</t>
        </is>
      </c>
      <c r="E283" s="76" t="n">
        <v>0.95</v>
      </c>
      <c r="F283" s="49" t="n">
        <v>417</v>
      </c>
      <c r="G283" s="49" t="n">
        <v>418</v>
      </c>
      <c r="H283" s="76">
        <f>F283/G283</f>
        <v/>
      </c>
      <c r="I283" s="49">
        <f>IF(H283&gt;=E283,"Yes","No")</f>
        <v/>
      </c>
    </row>
    <row r="284" ht="15" customHeight="1" s="50">
      <c r="A284" s="75" t="n">
        <v>46235</v>
      </c>
      <c r="B284" s="49" t="inlineStr">
        <is>
          <t>Aleger Studio</t>
        </is>
      </c>
      <c r="C284" s="49" t="inlineStr">
        <is>
          <t>Order Accuracy by Unit</t>
        </is>
      </c>
      <c r="E284" s="76" t="n">
        <v>0.995</v>
      </c>
      <c r="F284" s="49" t="n">
        <v>8</v>
      </c>
      <c r="G284" s="49" t="n">
        <v>8</v>
      </c>
      <c r="H284" s="76">
        <f>F284/G284</f>
        <v/>
      </c>
      <c r="I284" s="49">
        <f>IF(H284&gt;=E284,"Yes","No")</f>
        <v/>
      </c>
    </row>
    <row r="285" ht="15" customHeight="1" s="50">
      <c r="A285" s="75" t="n">
        <v>46235</v>
      </c>
      <c r="B285" s="49" t="inlineStr">
        <is>
          <t>Coromandel Mountains Company Limited</t>
        </is>
      </c>
      <c r="C285" s="49" t="inlineStr">
        <is>
          <t>Order Accuracy by Unit</t>
        </is>
      </c>
      <c r="E285" s="76" t="n">
        <v>0.995</v>
      </c>
      <c r="F285" s="49" t="n">
        <v>380</v>
      </c>
      <c r="G285" s="49" t="n">
        <v>380</v>
      </c>
      <c r="H285" s="76">
        <f>F285/G285</f>
        <v/>
      </c>
      <c r="I285" s="49">
        <f>IF(H285&gt;=E285,"Yes","No")</f>
        <v/>
      </c>
    </row>
    <row r="286" ht="15" customHeight="1" s="50">
      <c r="A286" s="75" t="n">
        <v>46235</v>
      </c>
      <c r="B286" s="49" t="inlineStr">
        <is>
          <t>EcoPallets</t>
        </is>
      </c>
      <c r="C286" s="49" t="inlineStr">
        <is>
          <t>Order Accuracy by Unit</t>
        </is>
      </c>
      <c r="E286" s="76" t="n">
        <v>0.995</v>
      </c>
      <c r="F286" s="49" t="n">
        <v>192</v>
      </c>
      <c r="G286" s="49" t="n">
        <v>192</v>
      </c>
      <c r="H286" s="76">
        <f>F286/G286</f>
        <v/>
      </c>
      <c r="I286" s="49">
        <f>IF(H286&gt;=E286,"Yes","No")</f>
        <v/>
      </c>
    </row>
    <row r="287" ht="15" customHeight="1" s="50">
      <c r="A287" s="75" t="n">
        <v>46235</v>
      </c>
      <c r="B287" s="49" t="inlineStr">
        <is>
          <t>Flo &amp; Frankie</t>
        </is>
      </c>
      <c r="C287" s="49" t="inlineStr">
        <is>
          <t>Order Accuracy by Unit</t>
        </is>
      </c>
      <c r="E287" s="76" t="n">
        <v>0.995</v>
      </c>
      <c r="F287" s="49" t="n">
        <v>724</v>
      </c>
      <c r="G287" s="49" t="n">
        <v>724</v>
      </c>
      <c r="H287" s="76">
        <f>F287/G287</f>
        <v/>
      </c>
      <c r="I287" s="49">
        <f>IF(H287&gt;=E287,"Yes","No")</f>
        <v/>
      </c>
    </row>
    <row r="288" ht="15" customHeight="1" s="50">
      <c r="A288" s="75" t="n">
        <v>46235</v>
      </c>
      <c r="B288" s="49" t="inlineStr">
        <is>
          <t>Geodis</t>
        </is>
      </c>
      <c r="C288" s="49" t="inlineStr">
        <is>
          <t>Order Accuracy by Unit</t>
        </is>
      </c>
      <c r="E288" s="76" t="n">
        <v>0.995</v>
      </c>
      <c r="F288" s="49" t="n">
        <v>330050</v>
      </c>
      <c r="G288" s="49" t="n">
        <v>330050</v>
      </c>
      <c r="H288" s="76">
        <f>F288/G288</f>
        <v/>
      </c>
      <c r="I288" s="49">
        <f>IF(H288&gt;=E288,"Yes","No")</f>
        <v/>
      </c>
    </row>
    <row r="289" ht="15" customHeight="1" s="50">
      <c r="A289" s="75" t="n">
        <v>46235</v>
      </c>
      <c r="B289" s="49" t="inlineStr">
        <is>
          <t>Gym Equip</t>
        </is>
      </c>
      <c r="C289" s="49" t="inlineStr">
        <is>
          <t>Order Accuracy by Unit</t>
        </is>
      </c>
      <c r="E289" s="76" t="n">
        <v>0.995</v>
      </c>
      <c r="F289" s="49" t="n">
        <v>1</v>
      </c>
      <c r="G289" s="49" t="n">
        <v>1</v>
      </c>
      <c r="H289" s="76">
        <f>F289/G289</f>
        <v/>
      </c>
      <c r="I289" s="49">
        <f>IF(H289&gt;=E289,"Yes","No")</f>
        <v/>
      </c>
    </row>
    <row r="290" ht="15" customHeight="1" s="50">
      <c r="A290" s="75" t="n">
        <v>46235</v>
      </c>
      <c r="B290" s="49" t="inlineStr">
        <is>
          <t>Interior Images</t>
        </is>
      </c>
      <c r="C290" s="49" t="inlineStr">
        <is>
          <t>Order Accuracy by Unit</t>
        </is>
      </c>
      <c r="E290" s="76" t="n">
        <v>0.995</v>
      </c>
      <c r="F290" s="49" t="n">
        <v>158</v>
      </c>
      <c r="G290" s="49" t="n">
        <v>158</v>
      </c>
      <c r="H290" s="76">
        <f>F290/G290</f>
        <v/>
      </c>
      <c r="I290" s="49">
        <f>IF(H290&gt;=E290,"Yes","No")</f>
        <v/>
      </c>
    </row>
    <row r="291" ht="15" customHeight="1" s="50">
      <c r="A291" s="75" t="n">
        <v>46235</v>
      </c>
      <c r="B291" s="49" t="inlineStr">
        <is>
          <t>Jock Freight - SECA</t>
        </is>
      </c>
      <c r="C291" s="49" t="inlineStr">
        <is>
          <t>Order Accuracy by Unit</t>
        </is>
      </c>
      <c r="E291" s="76" t="n">
        <v>0.995</v>
      </c>
      <c r="F291" s="49" t="n">
        <v>86</v>
      </c>
      <c r="G291" s="49" t="n">
        <v>86</v>
      </c>
      <c r="H291" s="76">
        <f>F291/G291</f>
        <v/>
      </c>
      <c r="I291" s="49">
        <f>IF(H291&gt;=E291,"Yes","No")</f>
        <v/>
      </c>
    </row>
    <row r="292" ht="15" customHeight="1" s="50">
      <c r="A292" s="75" t="n">
        <v>46235</v>
      </c>
      <c r="B292" s="49" t="inlineStr">
        <is>
          <t>Logwin - Sikla</t>
        </is>
      </c>
      <c r="C292" s="49" t="inlineStr">
        <is>
          <t>Order Accuracy by Unit</t>
        </is>
      </c>
      <c r="E292" s="76" t="n">
        <v>0.995</v>
      </c>
      <c r="F292" s="49" t="n">
        <v>5971</v>
      </c>
      <c r="G292" s="49" t="n">
        <v>5971</v>
      </c>
      <c r="H292" s="76">
        <f>F292/G292</f>
        <v/>
      </c>
      <c r="I292" s="49">
        <f>IF(H292&gt;=E292,"Yes","No")</f>
        <v/>
      </c>
    </row>
    <row r="293" ht="15" customHeight="1" s="50">
      <c r="A293" s="75" t="n">
        <v>46235</v>
      </c>
      <c r="B293" s="49" t="inlineStr">
        <is>
          <t>Made Group NZ</t>
        </is>
      </c>
      <c r="C293" s="49" t="inlineStr">
        <is>
          <t>Order Accuracy by Unit</t>
        </is>
      </c>
      <c r="E293" s="76" t="n">
        <v>0.995</v>
      </c>
      <c r="F293" s="49" t="n">
        <v>82361</v>
      </c>
      <c r="G293" s="49" t="n">
        <v>82361</v>
      </c>
      <c r="H293" s="76">
        <f>F293/G293</f>
        <v/>
      </c>
      <c r="I293" s="49">
        <f>IF(H293&gt;=E293,"Yes","No")</f>
        <v/>
      </c>
    </row>
    <row r="294" ht="15" customHeight="1" s="50">
      <c r="A294" s="75" t="n">
        <v>46235</v>
      </c>
      <c r="B294" s="49" t="inlineStr">
        <is>
          <t>Madigan Freight Services</t>
        </is>
      </c>
      <c r="C294" s="49" t="inlineStr">
        <is>
          <t>Order Accuracy by Unit</t>
        </is>
      </c>
      <c r="E294" s="76" t="n">
        <v>0.995</v>
      </c>
      <c r="F294" s="49" t="n">
        <v>120</v>
      </c>
      <c r="G294" s="49" t="n">
        <v>120</v>
      </c>
      <c r="H294" s="76">
        <f>F294/G294</f>
        <v/>
      </c>
      <c r="I294" s="49">
        <f>IF(H294&gt;=E294,"Yes","No")</f>
        <v/>
      </c>
    </row>
    <row r="295" ht="15" customHeight="1" s="50">
      <c r="A295" s="75" t="n">
        <v>46235</v>
      </c>
      <c r="B295" s="49" t="inlineStr">
        <is>
          <t>May Eleven NZ</t>
        </is>
      </c>
      <c r="C295" s="49" t="inlineStr">
        <is>
          <t>Order Accuracy by Unit</t>
        </is>
      </c>
      <c r="E295" s="76" t="n">
        <v>0.995</v>
      </c>
      <c r="F295" s="49" t="n">
        <v>500</v>
      </c>
      <c r="G295" s="49" t="n">
        <v>500</v>
      </c>
      <c r="H295" s="76">
        <f>F295/G295</f>
        <v/>
      </c>
      <c r="I295" s="49">
        <f>IF(H295&gt;=E295,"Yes","No")</f>
        <v/>
      </c>
    </row>
    <row r="296" ht="15" customHeight="1" s="50">
      <c r="A296" s="75" t="n">
        <v>46235</v>
      </c>
      <c r="B296" s="49" t="inlineStr">
        <is>
          <t>Method Global</t>
        </is>
      </c>
      <c r="C296" s="49" t="inlineStr">
        <is>
          <t>Order Accuracy by Unit</t>
        </is>
      </c>
      <c r="E296" s="76" t="n">
        <v>0.995</v>
      </c>
      <c r="F296" s="49" t="n">
        <v>4</v>
      </c>
      <c r="G296" s="49" t="n">
        <v>4</v>
      </c>
      <c r="H296" s="76">
        <f>F296/G296</f>
        <v/>
      </c>
      <c r="I296" s="49">
        <f>IF(H296&gt;=E296,"Yes","No")</f>
        <v/>
      </c>
    </row>
    <row r="297" ht="15" customHeight="1" s="50">
      <c r="A297" s="75" t="n">
        <v>46235</v>
      </c>
      <c r="B297" s="49" t="inlineStr">
        <is>
          <t>Oceanbridge</t>
        </is>
      </c>
      <c r="C297" s="49" t="inlineStr">
        <is>
          <t>Order Accuracy by Unit</t>
        </is>
      </c>
      <c r="E297" s="76" t="n">
        <v>0.995</v>
      </c>
      <c r="F297" s="49" t="n">
        <v>1</v>
      </c>
      <c r="G297" s="49" t="n">
        <v>1</v>
      </c>
      <c r="H297" s="76">
        <f>F297/G297</f>
        <v/>
      </c>
      <c r="I297" s="49">
        <f>IF(H297&gt;=E297,"Yes","No")</f>
        <v/>
      </c>
    </row>
    <row r="298" ht="15" customHeight="1" s="50">
      <c r="A298" s="75" t="n">
        <v>46235</v>
      </c>
      <c r="B298" s="49" t="inlineStr">
        <is>
          <t>Oricom</t>
        </is>
      </c>
      <c r="C298" s="49" t="inlineStr">
        <is>
          <t>Order Accuracy by Unit</t>
        </is>
      </c>
      <c r="E298" s="76" t="n">
        <v>0.995</v>
      </c>
      <c r="F298" s="49" t="n">
        <v>368</v>
      </c>
      <c r="G298" s="49" t="n">
        <v>368</v>
      </c>
      <c r="H298" s="76">
        <f>F298/G298</f>
        <v/>
      </c>
      <c r="I298" s="49">
        <f>IF(H298&gt;=E298,"Yes","No")</f>
        <v/>
      </c>
    </row>
    <row r="299" ht="15" customHeight="1" s="50">
      <c r="A299" s="75" t="n">
        <v>46235</v>
      </c>
      <c r="B299" s="49" t="inlineStr">
        <is>
          <t>Purify Me</t>
        </is>
      </c>
      <c r="C299" s="49" t="inlineStr">
        <is>
          <t>Order Accuracy by Unit</t>
        </is>
      </c>
      <c r="E299" s="76" t="n">
        <v>0.995</v>
      </c>
      <c r="F299" s="49" t="n">
        <v>170</v>
      </c>
      <c r="G299" s="49" t="n">
        <v>170</v>
      </c>
      <c r="H299" s="76">
        <f>F299/G299</f>
        <v/>
      </c>
      <c r="I299" s="49">
        <f>IF(H299&gt;=E299,"Yes","No")</f>
        <v/>
      </c>
    </row>
    <row r="300" ht="15" customHeight="1" s="50">
      <c r="A300" s="75" t="n">
        <v>46235</v>
      </c>
      <c r="B300" s="49" t="inlineStr">
        <is>
          <t>Salt Shark</t>
        </is>
      </c>
      <c r="C300" s="49" t="inlineStr">
        <is>
          <t>Order Accuracy by Unit</t>
        </is>
      </c>
      <c r="E300" s="76" t="n">
        <v>0.995</v>
      </c>
      <c r="F300" s="49" t="n">
        <v>781</v>
      </c>
      <c r="G300" s="49" t="n">
        <v>781</v>
      </c>
      <c r="H300" s="76">
        <f>F300/G300</f>
        <v/>
      </c>
      <c r="I300" s="49">
        <f>IF(H300&gt;=E300,"Yes","No")</f>
        <v/>
      </c>
    </row>
    <row r="301" ht="15" customHeight="1" s="50">
      <c r="A301" s="75" t="n">
        <v>46235</v>
      </c>
      <c r="B301" s="49" t="inlineStr">
        <is>
          <t>Samsung Batteries CP</t>
        </is>
      </c>
      <c r="C301" s="49" t="inlineStr">
        <is>
          <t>Order Accuracy by Unit</t>
        </is>
      </c>
      <c r="E301" s="76" t="n">
        <v>0.995</v>
      </c>
      <c r="F301" s="49" t="n">
        <v>1</v>
      </c>
      <c r="G301" s="49" t="n">
        <v>1</v>
      </c>
      <c r="H301" s="76">
        <f>F301/G301</f>
        <v/>
      </c>
      <c r="I301" s="49">
        <f>IF(H301&gt;=E301,"Yes","No")</f>
        <v/>
      </c>
    </row>
    <row r="302" ht="15" customHeight="1" s="50">
      <c r="A302" s="75" t="n">
        <v>46235</v>
      </c>
      <c r="B302" s="49" t="inlineStr">
        <is>
          <t>Simply Clean</t>
        </is>
      </c>
      <c r="C302" s="49" t="inlineStr">
        <is>
          <t>Order Accuracy by Unit</t>
        </is>
      </c>
      <c r="E302" s="76" t="n">
        <v>0.995</v>
      </c>
      <c r="F302" s="49" t="n">
        <v>3398</v>
      </c>
      <c r="G302" s="49" t="n">
        <v>3399</v>
      </c>
      <c r="H302" s="76">
        <f>F302/G302</f>
        <v/>
      </c>
      <c r="I302" s="49">
        <f>IF(H302&gt;=E302,"Yes","No")</f>
        <v/>
      </c>
    </row>
    <row r="303" ht="15" customHeight="1" s="50">
      <c r="A303" s="75" t="n">
        <v>46235</v>
      </c>
      <c r="B303" s="49" t="inlineStr">
        <is>
          <t>Stryx</t>
        </is>
      </c>
      <c r="C303" s="49" t="inlineStr">
        <is>
          <t>Order Accuracy by Unit</t>
        </is>
      </c>
      <c r="E303" s="76" t="n">
        <v>0.995</v>
      </c>
      <c r="F303" s="49" t="n">
        <v>35</v>
      </c>
      <c r="G303" s="49" t="n">
        <v>35</v>
      </c>
      <c r="H303" s="76">
        <f>F303/G303</f>
        <v/>
      </c>
      <c r="I303" s="49">
        <f>IF(H303&gt;=E303,"Yes","No")</f>
        <v/>
      </c>
    </row>
    <row r="304" ht="15" customHeight="1" s="50">
      <c r="A304" s="75" t="n">
        <v>46235</v>
      </c>
      <c r="B304" s="49" t="inlineStr">
        <is>
          <t>Tesx</t>
        </is>
      </c>
      <c r="C304" s="49" t="inlineStr">
        <is>
          <t>Order Accuracy by Unit</t>
        </is>
      </c>
      <c r="E304" s="76" t="n">
        <v>0.995</v>
      </c>
      <c r="F304" s="49" t="n">
        <v>1</v>
      </c>
      <c r="G304" s="49" t="n">
        <v>1</v>
      </c>
      <c r="H304" s="76">
        <f>F304/G304</f>
        <v/>
      </c>
      <c r="I304" s="49">
        <f>IF(H304&gt;=E304,"Yes","No")</f>
        <v/>
      </c>
    </row>
    <row r="305" ht="15" customHeight="1" s="50">
      <c r="A305" s="75" t="n">
        <v>46235</v>
      </c>
      <c r="B305" s="49" t="inlineStr">
        <is>
          <t>Vixxen</t>
        </is>
      </c>
      <c r="C305" s="49" t="inlineStr">
        <is>
          <t>Order Accuracy by Unit</t>
        </is>
      </c>
      <c r="E305" s="76" t="n">
        <v>0.995</v>
      </c>
      <c r="F305" s="49" t="n">
        <v>5710</v>
      </c>
      <c r="G305" s="49" t="n">
        <v>5721</v>
      </c>
      <c r="H305" s="76">
        <f>F305/G305</f>
        <v/>
      </c>
      <c r="I305" s="49">
        <f>IF(H305&gt;=E305,"Yes","No")</f>
        <v/>
      </c>
    </row>
    <row r="306" ht="15" customHeight="1" s="50">
      <c r="A306" s="78" t="n">
        <v>46266</v>
      </c>
      <c r="B306" s="49" t="inlineStr">
        <is>
          <t>Aleger Studio</t>
        </is>
      </c>
      <c r="C306" s="49" t="inlineStr">
        <is>
          <t>Dock to Stock</t>
        </is>
      </c>
      <c r="E306" s="79" t="n">
        <v>0.95</v>
      </c>
      <c r="F306" s="49" t="n">
        <v>3</v>
      </c>
      <c r="G306" s="49" t="n">
        <v>3</v>
      </c>
      <c r="H306" s="79">
        <f>F322/G322</f>
        <v/>
      </c>
      <c r="I306" s="49">
        <f>IF(H322&gt;=E322,"Yes","No")</f>
        <v/>
      </c>
    </row>
    <row r="307" ht="15" customHeight="1" s="50">
      <c r="A307" s="78" t="n">
        <v>46266</v>
      </c>
      <c r="B307" s="49" t="inlineStr">
        <is>
          <t>Baking Tech</t>
        </is>
      </c>
      <c r="C307" s="49" t="inlineStr">
        <is>
          <t>Dock to Stock</t>
        </is>
      </c>
      <c r="E307" s="79" t="n">
        <v>0.95</v>
      </c>
      <c r="F307" s="49" t="n">
        <v>1</v>
      </c>
      <c r="G307" s="49" t="n">
        <v>1</v>
      </c>
      <c r="H307" s="79">
        <f>F323/G323</f>
        <v/>
      </c>
      <c r="I307" s="49">
        <f>IF(H323&gt;=E323,"Yes","No")</f>
        <v/>
      </c>
    </row>
    <row r="308" ht="15" customHeight="1" s="50">
      <c r="A308" s="78" t="n">
        <v>46266</v>
      </c>
      <c r="B308" s="49" t="inlineStr">
        <is>
          <t>Coromandel Mountains Company Limited</t>
        </is>
      </c>
      <c r="C308" s="49" t="inlineStr">
        <is>
          <t>Dock to Stock</t>
        </is>
      </c>
      <c r="E308" s="79" t="n">
        <v>0.95</v>
      </c>
      <c r="F308" s="49" t="n">
        <v>1</v>
      </c>
      <c r="G308" s="49" t="n">
        <v>1</v>
      </c>
      <c r="H308" s="79">
        <f>F324/G324</f>
        <v/>
      </c>
      <c r="I308" s="49">
        <f>IF(H324&gt;=E324,"Yes","No")</f>
        <v/>
      </c>
    </row>
    <row r="309" ht="15" customHeight="1" s="50">
      <c r="A309" s="78" t="n">
        <v>46266</v>
      </c>
      <c r="B309" s="49" t="inlineStr">
        <is>
          <t>Flo &amp; Frankie</t>
        </is>
      </c>
      <c r="C309" s="49" t="inlineStr">
        <is>
          <t>Dock to Stock</t>
        </is>
      </c>
      <c r="E309" s="79" t="n">
        <v>0.95</v>
      </c>
      <c r="F309" s="49" t="n">
        <v>12</v>
      </c>
      <c r="G309" s="49" t="n">
        <v>13</v>
      </c>
      <c r="H309" s="79">
        <f>F325/G325</f>
        <v/>
      </c>
      <c r="I309" s="49">
        <f>IF(H325&gt;=E325,"Yes","No")</f>
        <v/>
      </c>
      <c r="J309" s="49" t="inlineStr">
        <is>
          <t>Below target - investigate root cause and add to next month's action plan</t>
        </is>
      </c>
    </row>
    <row r="310" ht="15" customHeight="1" s="50">
      <c r="A310" s="78" t="n">
        <v>46266</v>
      </c>
      <c r="B310" s="49" t="inlineStr">
        <is>
          <t>Jock Freight - SECA</t>
        </is>
      </c>
      <c r="C310" s="49" t="inlineStr">
        <is>
          <t>Dock to Stock</t>
        </is>
      </c>
      <c r="E310" s="79" t="n">
        <v>0.95</v>
      </c>
      <c r="F310" s="49" t="n">
        <v>1</v>
      </c>
      <c r="G310" s="49" t="n">
        <v>1</v>
      </c>
      <c r="H310" s="79">
        <f>F326/G326</f>
        <v/>
      </c>
      <c r="I310" s="49">
        <f>IF(H326&gt;=E326,"Yes","No")</f>
        <v/>
      </c>
    </row>
    <row r="311" ht="15" customHeight="1" s="50">
      <c r="A311" s="78" t="n">
        <v>46266</v>
      </c>
      <c r="B311" s="49" t="inlineStr">
        <is>
          <t>May Eleven NZ</t>
        </is>
      </c>
      <c r="C311" s="49" t="inlineStr">
        <is>
          <t>Dock to Stock</t>
        </is>
      </c>
      <c r="E311" s="79" t="n">
        <v>0.95</v>
      </c>
      <c r="F311" s="49" t="n">
        <v>3</v>
      </c>
      <c r="G311" s="49" t="n">
        <v>3</v>
      </c>
      <c r="H311" s="79">
        <f>F327/G327</f>
        <v/>
      </c>
      <c r="I311" s="49">
        <f>IF(H327&gt;=E327,"Yes","No")</f>
        <v/>
      </c>
    </row>
    <row r="312" ht="15" customHeight="1" s="50">
      <c r="A312" s="78" t="n">
        <v>46266</v>
      </c>
      <c r="B312" s="49" t="inlineStr">
        <is>
          <t>Oricom</t>
        </is>
      </c>
      <c r="C312" s="49" t="inlineStr">
        <is>
          <t>Dock to Stock</t>
        </is>
      </c>
      <c r="E312" s="79" t="n">
        <v>0.95</v>
      </c>
      <c r="F312" s="49" t="n">
        <v>3</v>
      </c>
      <c r="G312" s="49" t="n">
        <v>4</v>
      </c>
      <c r="H312" s="79">
        <f>F328/G328</f>
        <v/>
      </c>
      <c r="I312" s="49">
        <f>IF(H328&gt;=E328,"Yes","No")</f>
        <v/>
      </c>
      <c r="J312" s="49" t="inlineStr">
        <is>
          <t>Below target - investigate root cause and add to next month's action plan</t>
        </is>
      </c>
    </row>
    <row r="313" ht="15" customHeight="1" s="50">
      <c r="A313" s="78" t="n">
        <v>46266</v>
      </c>
      <c r="B313" s="49" t="inlineStr">
        <is>
          <t>Salt Shark</t>
        </is>
      </c>
      <c r="C313" s="49" t="inlineStr">
        <is>
          <t>Dock to Stock</t>
        </is>
      </c>
      <c r="E313" s="79" t="n">
        <v>0.95</v>
      </c>
      <c r="F313" s="49" t="n">
        <v>2</v>
      </c>
      <c r="G313" s="49" t="n">
        <v>2</v>
      </c>
      <c r="H313" s="79">
        <f>F329/G329</f>
        <v/>
      </c>
      <c r="I313" s="49">
        <f>IF(H329&gt;=E329,"Yes","No")</f>
        <v/>
      </c>
    </row>
    <row r="314" ht="15" customHeight="1" s="50">
      <c r="A314" s="78" t="n">
        <v>46266</v>
      </c>
      <c r="B314" s="49" t="inlineStr">
        <is>
          <t>Simply Clean</t>
        </is>
      </c>
      <c r="C314" s="49" t="inlineStr">
        <is>
          <t>Dock to Stock</t>
        </is>
      </c>
      <c r="E314" s="79" t="n">
        <v>0.95</v>
      </c>
      <c r="F314" s="49" t="n">
        <v>1</v>
      </c>
      <c r="G314" s="49" t="n">
        <v>1</v>
      </c>
      <c r="H314" s="79">
        <f>F330/G330</f>
        <v/>
      </c>
      <c r="I314" s="49">
        <f>IF(H330&gt;=E330,"Yes","No")</f>
        <v/>
      </c>
    </row>
    <row r="315" ht="15" customHeight="1" s="50">
      <c r="A315" s="78" t="n">
        <v>46266</v>
      </c>
      <c r="B315" s="49" t="inlineStr">
        <is>
          <t>Vixxen</t>
        </is>
      </c>
      <c r="C315" s="49" t="inlineStr">
        <is>
          <t>Dock to Stock</t>
        </is>
      </c>
      <c r="E315" s="79" t="n">
        <v>0.95</v>
      </c>
      <c r="F315" s="49" t="n">
        <v>2</v>
      </c>
      <c r="G315" s="49" t="n">
        <v>2</v>
      </c>
      <c r="H315" s="79">
        <f>F331/G331</f>
        <v/>
      </c>
      <c r="I315" s="49">
        <f>IF(H331&gt;=E331,"Yes","No")</f>
        <v/>
      </c>
    </row>
    <row r="316" ht="15" customHeight="1" s="50">
      <c r="A316" s="78" t="n">
        <v>46266</v>
      </c>
      <c r="B316" s="49" t="inlineStr">
        <is>
          <t>Aleger Studio</t>
        </is>
      </c>
      <c r="C316" s="49" t="inlineStr">
        <is>
          <t>Order Cut Off</t>
        </is>
      </c>
      <c r="E316" s="79" t="n">
        <v>0.95</v>
      </c>
      <c r="F316" s="49" t="n">
        <v>6</v>
      </c>
      <c r="G316" s="49" t="n">
        <v>6</v>
      </c>
      <c r="H316" s="79">
        <f>F332/G332</f>
        <v/>
      </c>
      <c r="I316" s="49">
        <f>IF(H332&gt;=E332,"Yes","No")</f>
        <v/>
      </c>
    </row>
    <row r="317" ht="15" customHeight="1" s="50">
      <c r="A317" s="78" t="n">
        <v>46266</v>
      </c>
      <c r="B317" s="49" t="inlineStr">
        <is>
          <t>Baking Tech</t>
        </is>
      </c>
      <c r="C317" s="49" t="inlineStr">
        <is>
          <t>Order Cut Off</t>
        </is>
      </c>
      <c r="E317" s="79" t="n">
        <v>0.95</v>
      </c>
      <c r="F317" s="49" t="n">
        <v>2</v>
      </c>
      <c r="G317" s="49" t="n">
        <v>2</v>
      </c>
      <c r="H317" s="79">
        <f>F333/G333</f>
        <v/>
      </c>
      <c r="I317" s="49">
        <f>IF(H333&gt;=E333,"Yes","No")</f>
        <v/>
      </c>
    </row>
    <row r="318" ht="15" customHeight="1" s="50">
      <c r="A318" s="78" t="n">
        <v>46266</v>
      </c>
      <c r="B318" s="49" t="inlineStr">
        <is>
          <t>Coromandel Mountains Company Limited</t>
        </is>
      </c>
      <c r="C318" s="49" t="inlineStr">
        <is>
          <t>Order Cut Off</t>
        </is>
      </c>
      <c r="E318" s="79" t="n">
        <v>0.95</v>
      </c>
      <c r="F318" s="49" t="n">
        <v>66</v>
      </c>
      <c r="G318" s="49" t="n">
        <v>66</v>
      </c>
      <c r="H318" s="79">
        <f>F334/G334</f>
        <v/>
      </c>
      <c r="I318" s="49">
        <f>IF(H334&gt;=E334,"Yes","No")</f>
        <v/>
      </c>
    </row>
    <row r="319" ht="15" customHeight="1" s="50">
      <c r="A319" s="78" t="n">
        <v>46266</v>
      </c>
      <c r="B319" s="49" t="inlineStr">
        <is>
          <t>EcoPallets</t>
        </is>
      </c>
      <c r="C319" s="49" t="inlineStr">
        <is>
          <t>Order Cut Off</t>
        </is>
      </c>
      <c r="E319" s="79" t="n">
        <v>0.95</v>
      </c>
      <c r="F319" s="49" t="n">
        <v>11</v>
      </c>
      <c r="G319" s="49" t="n">
        <v>15</v>
      </c>
      <c r="H319" s="79">
        <f>F335/G335</f>
        <v/>
      </c>
      <c r="I319" s="49">
        <f>IF(H335&gt;=E335,"Yes","No")</f>
        <v/>
      </c>
      <c r="J319" s="49" t="inlineStr">
        <is>
          <t>Below target - investigate root cause and add to next month's action plan</t>
        </is>
      </c>
    </row>
    <row r="320" ht="15" customHeight="1" s="50">
      <c r="A320" s="78" t="n">
        <v>46266</v>
      </c>
      <c r="B320" s="49" t="inlineStr">
        <is>
          <t>Flo &amp; Frankie</t>
        </is>
      </c>
      <c r="C320" s="49" t="inlineStr">
        <is>
          <t>Order Cut Off</t>
        </is>
      </c>
      <c r="E320" s="79" t="n">
        <v>0.95</v>
      </c>
      <c r="F320" s="49" t="n">
        <v>12</v>
      </c>
      <c r="G320" s="49" t="n">
        <v>12</v>
      </c>
      <c r="H320" s="79">
        <f>F336/G336</f>
        <v/>
      </c>
      <c r="I320" s="49">
        <f>IF(H336&gt;=E336,"Yes","No")</f>
        <v/>
      </c>
    </row>
    <row r="321" ht="15" customHeight="1" s="50">
      <c r="A321" s="78" t="n">
        <v>46266</v>
      </c>
      <c r="B321" s="49" t="inlineStr">
        <is>
          <t>Gym Equip</t>
        </is>
      </c>
      <c r="C321" s="49" t="inlineStr">
        <is>
          <t>Order Cut Off</t>
        </is>
      </c>
      <c r="E321" s="79" t="n">
        <v>0.95</v>
      </c>
      <c r="F321" s="49" t="n">
        <v>14</v>
      </c>
      <c r="G321" s="49" t="n">
        <v>16</v>
      </c>
      <c r="H321" s="79">
        <f>F337/G337</f>
        <v/>
      </c>
      <c r="I321" s="49">
        <f>IF(H337&gt;=E337,"Yes","No")</f>
        <v/>
      </c>
      <c r="J321" s="49" t="inlineStr">
        <is>
          <t>Below target - investigate root cause and add to next month's action plan</t>
        </is>
      </c>
    </row>
    <row r="322" ht="15" customHeight="1" s="50">
      <c r="A322" s="78" t="n">
        <v>46266</v>
      </c>
      <c r="B322" s="49" t="inlineStr">
        <is>
          <t>Jock Freight - SECA</t>
        </is>
      </c>
      <c r="C322" s="49" t="inlineStr">
        <is>
          <t>Order Cut Off</t>
        </is>
      </c>
      <c r="E322" s="79" t="n">
        <v>0.95</v>
      </c>
      <c r="F322" s="49" t="n">
        <v>11</v>
      </c>
      <c r="G322" s="49" t="n">
        <v>12</v>
      </c>
      <c r="H322" s="79">
        <f>F338/G338</f>
        <v/>
      </c>
      <c r="I322" s="49">
        <f>IF(H338&gt;=E338,"Yes","No")</f>
        <v/>
      </c>
      <c r="J322" s="49" t="inlineStr">
        <is>
          <t>Below target - investigate root cause and add to next month's action plan</t>
        </is>
      </c>
    </row>
    <row r="323" ht="15" customHeight="1" s="50">
      <c r="A323" s="78" t="n">
        <v>46266</v>
      </c>
      <c r="B323" s="49" t="inlineStr">
        <is>
          <t>Logwin - Sikla</t>
        </is>
      </c>
      <c r="C323" s="49" t="inlineStr">
        <is>
          <t>Order Cut Off</t>
        </is>
      </c>
      <c r="E323" s="79" t="n">
        <v>0.95</v>
      </c>
      <c r="F323" s="49" t="n">
        <v>9</v>
      </c>
      <c r="G323" s="49" t="n">
        <v>9</v>
      </c>
      <c r="H323" s="79">
        <f>F339/G339</f>
        <v/>
      </c>
      <c r="I323" s="49">
        <f>IF(H339&gt;=E339,"Yes","No")</f>
        <v/>
      </c>
    </row>
    <row r="324" ht="15" customHeight="1" s="50">
      <c r="A324" s="78" t="n">
        <v>46266</v>
      </c>
      <c r="B324" s="49" t="inlineStr">
        <is>
          <t>Made Group NZ</t>
        </is>
      </c>
      <c r="C324" s="49" t="inlineStr">
        <is>
          <t>Order Cut Off</t>
        </is>
      </c>
      <c r="E324" s="79" t="n">
        <v>0.95</v>
      </c>
      <c r="F324" s="49" t="n">
        <v>4</v>
      </c>
      <c r="G324" s="49" t="n">
        <v>4</v>
      </c>
      <c r="H324" s="79">
        <f>F340/G340</f>
        <v/>
      </c>
      <c r="I324" s="49">
        <f>IF(H340&gt;=E340,"Yes","No")</f>
        <v/>
      </c>
    </row>
    <row r="325" ht="15" customHeight="1" s="50">
      <c r="A325" s="78" t="n">
        <v>46266</v>
      </c>
      <c r="B325" s="49" t="inlineStr">
        <is>
          <t>May Eleven NZ</t>
        </is>
      </c>
      <c r="C325" s="49" t="inlineStr">
        <is>
          <t>Order Cut Off</t>
        </is>
      </c>
      <c r="E325" s="79" t="n">
        <v>0.95</v>
      </c>
      <c r="F325" s="49" t="n">
        <v>1</v>
      </c>
      <c r="G325" s="49" t="n">
        <v>1</v>
      </c>
      <c r="H325" s="79">
        <f>F341/G341</f>
        <v/>
      </c>
      <c r="I325" s="49">
        <f>IF(H341&gt;=E341,"Yes","No")</f>
        <v/>
      </c>
    </row>
    <row r="326" ht="15" customHeight="1" s="50">
      <c r="A326" s="78" t="n">
        <v>46266</v>
      </c>
      <c r="B326" s="49" t="inlineStr">
        <is>
          <t>Oceanbridge</t>
        </is>
      </c>
      <c r="C326" s="49" t="inlineStr">
        <is>
          <t>Order Cut Off</t>
        </is>
      </c>
      <c r="E326" s="79" t="n">
        <v>0.95</v>
      </c>
      <c r="F326" s="49" t="n">
        <v>2</v>
      </c>
      <c r="G326" s="49" t="n">
        <v>2</v>
      </c>
      <c r="H326" s="79">
        <f>F342/G342</f>
        <v/>
      </c>
      <c r="I326" s="49">
        <f>IF(H342&gt;=E342,"Yes","No")</f>
        <v/>
      </c>
    </row>
    <row r="327" ht="15" customHeight="1" s="50">
      <c r="A327" s="78" t="n">
        <v>46266</v>
      </c>
      <c r="B327" s="49" t="inlineStr">
        <is>
          <t>Oricom</t>
        </is>
      </c>
      <c r="C327" s="49" t="inlineStr">
        <is>
          <t>Order Cut Off</t>
        </is>
      </c>
      <c r="E327" s="79" t="n">
        <v>0.95</v>
      </c>
      <c r="F327" s="49" t="n">
        <v>143</v>
      </c>
      <c r="G327" s="49" t="n">
        <v>144</v>
      </c>
      <c r="H327" s="79">
        <f>F343/G343</f>
        <v/>
      </c>
      <c r="I327" s="49">
        <f>IF(H343&gt;=E343,"Yes","No")</f>
        <v/>
      </c>
    </row>
    <row r="328" ht="15" customHeight="1" s="50">
      <c r="A328" s="78" t="n">
        <v>46266</v>
      </c>
      <c r="B328" s="49" t="inlineStr">
        <is>
          <t>Purify Me</t>
        </is>
      </c>
      <c r="C328" s="49" t="inlineStr">
        <is>
          <t>Order Cut Off</t>
        </is>
      </c>
      <c r="E328" s="79" t="n">
        <v>0.95</v>
      </c>
      <c r="F328" s="49" t="n">
        <v>99</v>
      </c>
      <c r="G328" s="49" t="n">
        <v>100</v>
      </c>
      <c r="H328" s="79">
        <f>F344/G344</f>
        <v/>
      </c>
      <c r="I328" s="49">
        <f>IF(H344&gt;=E344,"Yes","No")</f>
        <v/>
      </c>
    </row>
    <row r="329" ht="15" customHeight="1" s="50">
      <c r="A329" s="78" t="n">
        <v>46266</v>
      </c>
      <c r="B329" s="49" t="inlineStr">
        <is>
          <t>Salt Shark</t>
        </is>
      </c>
      <c r="C329" s="49" t="inlineStr">
        <is>
          <t>Order Cut Off</t>
        </is>
      </c>
      <c r="E329" s="79" t="n">
        <v>0.95</v>
      </c>
      <c r="F329" s="49" t="n">
        <v>56</v>
      </c>
      <c r="G329" s="49" t="n">
        <v>57</v>
      </c>
      <c r="H329" s="79">
        <f>F345/G345</f>
        <v/>
      </c>
      <c r="I329" s="49">
        <f>IF(H345&gt;=E345,"Yes","No")</f>
        <v/>
      </c>
    </row>
    <row r="330" ht="15" customHeight="1" s="50">
      <c r="A330" s="78" t="n">
        <v>46266</v>
      </c>
      <c r="B330" s="49" t="inlineStr">
        <is>
          <t>Samsung Batteries CP</t>
        </is>
      </c>
      <c r="C330" s="49" t="inlineStr">
        <is>
          <t>Order Cut Off</t>
        </is>
      </c>
      <c r="E330" s="79" t="n">
        <v>0.95</v>
      </c>
      <c r="F330" s="49" t="n">
        <v>3</v>
      </c>
      <c r="G330" s="49" t="n">
        <v>4</v>
      </c>
      <c r="H330" s="79">
        <f>F346/G346</f>
        <v/>
      </c>
      <c r="I330" s="49">
        <f>IF(H346&gt;=E346,"Yes","No")</f>
        <v/>
      </c>
      <c r="J330" s="49" t="inlineStr">
        <is>
          <t>Below target - investigate root cause and add to next month's action plan</t>
        </is>
      </c>
    </row>
    <row r="331" ht="15" customHeight="1" s="50">
      <c r="A331" s="78" t="n">
        <v>46266</v>
      </c>
      <c r="B331" s="49" t="inlineStr">
        <is>
          <t>Simply Clean</t>
        </is>
      </c>
      <c r="C331" s="49" t="inlineStr">
        <is>
          <t>Order Cut Off</t>
        </is>
      </c>
      <c r="E331" s="79" t="n">
        <v>0.95</v>
      </c>
      <c r="F331" s="49" t="n">
        <v>170</v>
      </c>
      <c r="G331" s="49" t="n">
        <v>180</v>
      </c>
      <c r="H331" s="79">
        <f>F347/G347</f>
        <v/>
      </c>
      <c r="I331" s="49">
        <f>IF(H347&gt;=E347,"Yes","No")</f>
        <v/>
      </c>
      <c r="J331" s="49" t="inlineStr">
        <is>
          <t>Below target - investigate root cause and add to next month's action plan</t>
        </is>
      </c>
    </row>
    <row r="332" ht="15" customHeight="1" s="50">
      <c r="A332" s="78" t="n">
        <v>46266</v>
      </c>
      <c r="B332" s="49" t="inlineStr">
        <is>
          <t>Stryx</t>
        </is>
      </c>
      <c r="C332" s="49" t="inlineStr">
        <is>
          <t>Order Cut Off</t>
        </is>
      </c>
      <c r="E332" s="79" t="n">
        <v>0.95</v>
      </c>
      <c r="F332" s="49" t="n">
        <v>34</v>
      </c>
      <c r="G332" s="49" t="n">
        <v>37</v>
      </c>
      <c r="H332" s="79">
        <f>F348/G348</f>
        <v/>
      </c>
      <c r="I332" s="49">
        <f>IF(H348&gt;=E348,"Yes","No")</f>
        <v/>
      </c>
      <c r="J332" s="49" t="inlineStr">
        <is>
          <t>Below target - investigate root cause and add to next month's action plan</t>
        </is>
      </c>
    </row>
    <row r="333" ht="15" customHeight="1" s="50">
      <c r="A333" s="78" t="n">
        <v>46266</v>
      </c>
      <c r="B333" s="49" t="inlineStr">
        <is>
          <t>Vixxen</t>
        </is>
      </c>
      <c r="C333" s="49" t="inlineStr">
        <is>
          <t>Order Cut Off</t>
        </is>
      </c>
      <c r="E333" s="79" t="n">
        <v>0.95</v>
      </c>
      <c r="F333" s="49" t="n">
        <v>424</v>
      </c>
      <c r="G333" s="49" t="n">
        <v>426</v>
      </c>
      <c r="H333" s="79">
        <f>F349/G349</f>
        <v/>
      </c>
      <c r="I333" s="49">
        <f>IF(H349&gt;=E349,"Yes","No")</f>
        <v/>
      </c>
    </row>
    <row r="334" ht="15" customHeight="1" s="50">
      <c r="A334" s="78" t="n">
        <v>46266</v>
      </c>
      <c r="B334" s="49" t="inlineStr">
        <is>
          <t>Aleger Studio</t>
        </is>
      </c>
      <c r="C334" s="49" t="inlineStr">
        <is>
          <t>Order Accuracy by Unit</t>
        </is>
      </c>
      <c r="E334" s="79" t="n">
        <v>0.995</v>
      </c>
      <c r="F334" s="49" t="n">
        <v>8</v>
      </c>
      <c r="G334" s="49" t="n">
        <v>8</v>
      </c>
      <c r="H334" s="79">
        <f>F350/G350</f>
        <v/>
      </c>
      <c r="I334" s="49">
        <f>IF(H350&gt;=E350,"Yes","No")</f>
        <v/>
      </c>
    </row>
    <row r="335" ht="15" customHeight="1" s="50">
      <c r="A335" s="78" t="n">
        <v>46266</v>
      </c>
      <c r="B335" s="49" t="inlineStr">
        <is>
          <t>Baking Tech</t>
        </is>
      </c>
      <c r="C335" s="49" t="inlineStr">
        <is>
          <t>Order Accuracy by Unit</t>
        </is>
      </c>
      <c r="E335" s="79" t="n">
        <v>0.995</v>
      </c>
      <c r="F335" s="49" t="n">
        <v>1</v>
      </c>
      <c r="G335" s="49" t="n">
        <v>1</v>
      </c>
      <c r="H335" s="79">
        <f>F351/G351</f>
        <v/>
      </c>
      <c r="I335" s="49">
        <f>IF(H351&gt;=E351,"Yes","No")</f>
        <v/>
      </c>
    </row>
    <row r="336" ht="15" customHeight="1" s="50">
      <c r="A336" s="78" t="n">
        <v>46266</v>
      </c>
      <c r="B336" s="49" t="inlineStr">
        <is>
          <t>Coromandel Mountains Company Limited</t>
        </is>
      </c>
      <c r="C336" s="49" t="inlineStr">
        <is>
          <t>Order Accuracy by Unit</t>
        </is>
      </c>
      <c r="E336" s="79" t="n">
        <v>0.995</v>
      </c>
      <c r="F336" s="49" t="n">
        <v>715</v>
      </c>
      <c r="G336" s="49" t="n">
        <v>715</v>
      </c>
      <c r="H336" s="79">
        <f>F352/G352</f>
        <v/>
      </c>
      <c r="I336" s="49">
        <f>IF(H352&gt;=E352,"Yes","No")</f>
        <v/>
      </c>
    </row>
    <row r="337" ht="15" customHeight="1" s="50">
      <c r="A337" s="78" t="n">
        <v>46266</v>
      </c>
      <c r="B337" s="49" t="inlineStr">
        <is>
          <t>EcoPallets</t>
        </is>
      </c>
      <c r="C337" s="49" t="inlineStr">
        <is>
          <t>Order Accuracy by Unit</t>
        </is>
      </c>
      <c r="E337" s="79" t="n">
        <v>0.995</v>
      </c>
      <c r="F337" s="49" t="n">
        <v>484</v>
      </c>
      <c r="G337" s="49" t="n">
        <v>484</v>
      </c>
      <c r="H337" s="79">
        <f>F353/G353</f>
        <v/>
      </c>
      <c r="I337" s="49">
        <f>IF(H353&gt;=E353,"Yes","No")</f>
        <v/>
      </c>
    </row>
    <row r="338" ht="15" customHeight="1" s="50">
      <c r="A338" s="78" t="n">
        <v>46266</v>
      </c>
      <c r="B338" s="49" t="inlineStr">
        <is>
          <t>Flo &amp; Frankie</t>
        </is>
      </c>
      <c r="C338" s="49" t="inlineStr">
        <is>
          <t>Order Accuracy by Unit</t>
        </is>
      </c>
      <c r="E338" s="79" t="n">
        <v>0.995</v>
      </c>
      <c r="F338" s="49" t="n">
        <v>633</v>
      </c>
      <c r="G338" s="49" t="n">
        <v>633</v>
      </c>
      <c r="H338" s="79">
        <f>F354/G354</f>
        <v/>
      </c>
      <c r="I338" s="49">
        <f>IF(H354&gt;=E354,"Yes","No")</f>
        <v/>
      </c>
    </row>
    <row r="339" ht="15" customHeight="1" s="50">
      <c r="A339" s="78" t="n">
        <v>46266</v>
      </c>
      <c r="B339" s="49" t="inlineStr">
        <is>
          <t>Gym Equip</t>
        </is>
      </c>
      <c r="C339" s="49" t="inlineStr">
        <is>
          <t>Order Accuracy by Unit</t>
        </is>
      </c>
      <c r="E339" s="79" t="n">
        <v>0.995</v>
      </c>
      <c r="F339" s="49" t="n">
        <v>384</v>
      </c>
      <c r="G339" s="49" t="n">
        <v>384</v>
      </c>
      <c r="H339" s="79">
        <f>F355/G355</f>
        <v/>
      </c>
      <c r="I339" s="49">
        <f>IF(H355&gt;=E355,"Yes","No")</f>
        <v/>
      </c>
    </row>
    <row r="340" ht="15" customHeight="1" s="50">
      <c r="A340" s="78" t="n">
        <v>46266</v>
      </c>
      <c r="B340" s="49" t="inlineStr">
        <is>
          <t>Interior Images</t>
        </is>
      </c>
      <c r="C340" s="49" t="inlineStr">
        <is>
          <t>Order Accuracy by Unit</t>
        </is>
      </c>
      <c r="E340" s="79" t="n">
        <v>0.995</v>
      </c>
      <c r="F340" s="49" t="n">
        <v>14</v>
      </c>
      <c r="G340" s="49" t="n">
        <v>14</v>
      </c>
      <c r="H340" s="79">
        <f>F356/G356</f>
        <v/>
      </c>
      <c r="I340" s="49">
        <f>IF(H356&gt;=E356,"Yes","No")</f>
        <v/>
      </c>
    </row>
    <row r="341" ht="15" customHeight="1" s="50">
      <c r="A341" s="78" t="n">
        <v>46266</v>
      </c>
      <c r="B341" s="49" t="inlineStr">
        <is>
          <t>Jock Freight - SECA</t>
        </is>
      </c>
      <c r="C341" s="49" t="inlineStr">
        <is>
          <t>Order Accuracy by Unit</t>
        </is>
      </c>
      <c r="E341" s="79" t="n">
        <v>0.995</v>
      </c>
      <c r="F341" s="49" t="n">
        <v>972</v>
      </c>
      <c r="G341" s="49" t="n">
        <v>972</v>
      </c>
      <c r="H341" s="79">
        <f>F357/G357</f>
        <v/>
      </c>
      <c r="I341" s="49">
        <f>IF(H357&gt;=E357,"Yes","No")</f>
        <v/>
      </c>
    </row>
    <row r="342" ht="15" customHeight="1" s="50">
      <c r="A342" s="78" t="n">
        <v>46266</v>
      </c>
      <c r="B342" s="49" t="inlineStr">
        <is>
          <t>Logwin - Sikla</t>
        </is>
      </c>
      <c r="C342" s="49" t="inlineStr">
        <is>
          <t>Order Accuracy by Unit</t>
        </is>
      </c>
      <c r="E342" s="79" t="n">
        <v>0.995</v>
      </c>
      <c r="F342" s="49" t="n">
        <v>5163</v>
      </c>
      <c r="G342" s="49" t="n">
        <v>5163</v>
      </c>
      <c r="H342" s="79">
        <f>F358/G358</f>
        <v/>
      </c>
      <c r="I342" s="49">
        <f>IF(H358&gt;=E358,"Yes","No")</f>
        <v/>
      </c>
    </row>
    <row r="343" ht="15" customHeight="1" s="50">
      <c r="A343" s="78" t="n">
        <v>46266</v>
      </c>
      <c r="B343" s="49" t="inlineStr">
        <is>
          <t>Made Group NZ</t>
        </is>
      </c>
      <c r="C343" s="49" t="inlineStr">
        <is>
          <t>Order Accuracy by Unit</t>
        </is>
      </c>
      <c r="E343" s="79" t="n">
        <v>0.995</v>
      </c>
      <c r="F343" s="49" t="n">
        <v>14190</v>
      </c>
      <c r="G343" s="49" t="n">
        <v>14190</v>
      </c>
      <c r="H343" s="79">
        <f>F359/G359</f>
        <v/>
      </c>
      <c r="I343" s="49">
        <f>IF(H359&gt;=E359,"Yes","No")</f>
        <v/>
      </c>
    </row>
    <row r="344" ht="15" customHeight="1" s="50">
      <c r="A344" s="78" t="n">
        <v>46266</v>
      </c>
      <c r="B344" s="49" t="inlineStr">
        <is>
          <t>May Eleven NZ</t>
        </is>
      </c>
      <c r="C344" s="49" t="inlineStr">
        <is>
          <t>Order Accuracy by Unit</t>
        </is>
      </c>
      <c r="E344" s="79" t="n">
        <v>0.995</v>
      </c>
      <c r="F344" s="49" t="n">
        <v>1500</v>
      </c>
      <c r="G344" s="49" t="n">
        <v>1500</v>
      </c>
      <c r="H344" s="79">
        <f>F360/G360</f>
        <v/>
      </c>
      <c r="I344" s="49">
        <f>IF(H360&gt;=E360,"Yes","No")</f>
        <v/>
      </c>
    </row>
    <row r="345" ht="15" customHeight="1" s="50">
      <c r="A345" s="78" t="n">
        <v>46266</v>
      </c>
      <c r="B345" s="49" t="inlineStr">
        <is>
          <t>Oceanbridge</t>
        </is>
      </c>
      <c r="C345" s="49" t="inlineStr">
        <is>
          <t>Order Accuracy by Unit</t>
        </is>
      </c>
      <c r="E345" s="79" t="n">
        <v>0.995</v>
      </c>
      <c r="F345" s="49" t="n">
        <v>55</v>
      </c>
      <c r="G345" s="49" t="n">
        <v>55</v>
      </c>
      <c r="H345" s="79">
        <f>F361/G361</f>
        <v/>
      </c>
      <c r="I345" s="49">
        <f>IF(H361&gt;=E361,"Yes","No")</f>
        <v/>
      </c>
    </row>
    <row r="346" ht="15" customHeight="1" s="50">
      <c r="A346" s="78" t="n">
        <v>46266</v>
      </c>
      <c r="B346" s="49" t="inlineStr">
        <is>
          <t>Oricom</t>
        </is>
      </c>
      <c r="C346" s="49" t="inlineStr">
        <is>
          <t>Order Accuracy by Unit</t>
        </is>
      </c>
      <c r="E346" s="79" t="n">
        <v>0.995</v>
      </c>
      <c r="F346" s="49" t="n">
        <v>1075</v>
      </c>
      <c r="G346" s="49" t="n">
        <v>1075</v>
      </c>
      <c r="H346" s="79">
        <f>F362/G362</f>
        <v/>
      </c>
      <c r="I346" s="49">
        <f>IF(H362&gt;=E362,"Yes","No")</f>
        <v/>
      </c>
    </row>
    <row r="347" ht="15" customHeight="1" s="50">
      <c r="A347" s="78" t="n">
        <v>46266</v>
      </c>
      <c r="B347" s="49" t="inlineStr">
        <is>
          <t>Purify Me</t>
        </is>
      </c>
      <c r="C347" s="49" t="inlineStr">
        <is>
          <t>Order Accuracy by Unit</t>
        </is>
      </c>
      <c r="E347" s="79" t="n">
        <v>0.995</v>
      </c>
      <c r="F347" s="49" t="n">
        <v>212</v>
      </c>
      <c r="G347" s="49" t="n">
        <v>212</v>
      </c>
      <c r="H347" s="79">
        <f>F363/G363</f>
        <v/>
      </c>
      <c r="I347" s="49">
        <f>IF(H363&gt;=E363,"Yes","No")</f>
        <v/>
      </c>
    </row>
    <row r="348" ht="15" customHeight="1" s="50">
      <c r="A348" s="78" t="n">
        <v>46266</v>
      </c>
      <c r="B348" s="49" t="inlineStr">
        <is>
          <t>Salt Shark</t>
        </is>
      </c>
      <c r="C348" s="49" t="inlineStr">
        <is>
          <t>Order Accuracy by Unit</t>
        </is>
      </c>
      <c r="E348" s="79" t="n">
        <v>0.995</v>
      </c>
      <c r="F348" s="49" t="n">
        <v>336</v>
      </c>
      <c r="G348" s="49" t="n">
        <v>336</v>
      </c>
      <c r="H348" s="79">
        <f>F364/G364</f>
        <v/>
      </c>
      <c r="I348" s="49">
        <f>IF(H364&gt;=E364,"Yes","No")</f>
        <v/>
      </c>
    </row>
    <row r="349" ht="15" customHeight="1" s="50">
      <c r="A349" s="78" t="n">
        <v>46266</v>
      </c>
      <c r="B349" s="49" t="inlineStr">
        <is>
          <t>Samsung Batteries CP</t>
        </is>
      </c>
      <c r="C349" s="49" t="inlineStr">
        <is>
          <t>Order Accuracy by Unit</t>
        </is>
      </c>
      <c r="E349" s="79" t="n">
        <v>0.995</v>
      </c>
      <c r="F349" s="49" t="n">
        <v>1329</v>
      </c>
      <c r="G349" s="49" t="n">
        <v>1329</v>
      </c>
      <c r="H349" s="79">
        <f>F365/G365</f>
        <v/>
      </c>
      <c r="I349" s="49">
        <f>IF(H365&gt;=E365,"Yes","No")</f>
        <v/>
      </c>
    </row>
    <row r="350" ht="15" customHeight="1" s="50">
      <c r="A350" s="78" t="n">
        <v>46266</v>
      </c>
      <c r="B350" s="49" t="inlineStr">
        <is>
          <t>Simply Clean</t>
        </is>
      </c>
      <c r="C350" s="49" t="inlineStr">
        <is>
          <t>Order Accuracy by Unit</t>
        </is>
      </c>
      <c r="E350" s="79" t="n">
        <v>0.995</v>
      </c>
      <c r="F350" s="49" t="n">
        <v>9658</v>
      </c>
      <c r="G350" s="49" t="n">
        <v>9658</v>
      </c>
      <c r="H350" s="79">
        <f>F366/G366</f>
        <v/>
      </c>
      <c r="I350" s="49">
        <f>IF(H366&gt;=E366,"Yes","No")</f>
        <v/>
      </c>
    </row>
    <row r="351" ht="15" customHeight="1" s="50">
      <c r="A351" s="78" t="n">
        <v>46266</v>
      </c>
      <c r="B351" s="49" t="inlineStr">
        <is>
          <t>Stryx</t>
        </is>
      </c>
      <c r="C351" s="49" t="inlineStr">
        <is>
          <t>Order Accuracy by Unit</t>
        </is>
      </c>
      <c r="E351" s="79" t="n">
        <v>0.995</v>
      </c>
      <c r="F351" s="49" t="n">
        <v>56</v>
      </c>
      <c r="G351" s="49" t="n">
        <v>56</v>
      </c>
      <c r="H351" s="79">
        <f>F367/G367</f>
        <v/>
      </c>
      <c r="I351" s="49">
        <f>IF(H367&gt;=E367,"Yes","No")</f>
        <v/>
      </c>
    </row>
    <row r="352">
      <c r="A352" s="78" t="n">
        <v>46266</v>
      </c>
      <c r="B352" s="49" t="inlineStr">
        <is>
          <t>Vixxen</t>
        </is>
      </c>
      <c r="C352" s="49" t="inlineStr">
        <is>
          <t>Order Accuracy by Unit</t>
        </is>
      </c>
      <c r="E352" s="79" t="n">
        <v>0.995</v>
      </c>
      <c r="F352" s="49" t="n">
        <v>10722</v>
      </c>
      <c r="G352" s="49" t="n">
        <v>10741</v>
      </c>
      <c r="H352" s="79">
        <f>F368/G368</f>
        <v/>
      </c>
      <c r="I352" s="49">
        <f>IF(H368&gt;=E368,"Yes","No")</f>
        <v/>
      </c>
    </row>
    <row r="353">
      <c r="A353" s="90" t="n">
        <v>46266</v>
      </c>
      <c r="B353" s="49" t="inlineStr">
        <is>
          <t>Aleger Studio</t>
        </is>
      </c>
      <c r="C353" s="49" t="inlineStr">
        <is>
          <t>Freight DIFOT</t>
        </is>
      </c>
      <c r="E353" s="49" t="n">
        <v>0.95</v>
      </c>
      <c r="F353" s="49" t="n">
        <v>6</v>
      </c>
      <c r="G353" s="49" t="n">
        <v>6</v>
      </c>
      <c r="H353" s="49">
        <f>F353/G353</f>
        <v/>
      </c>
      <c r="I353" s="49">
        <f>IF(H353&gt;=E353,"Yes","No")</f>
        <v/>
      </c>
    </row>
    <row r="354">
      <c r="A354" s="90" t="n">
        <v>46266</v>
      </c>
      <c r="B354" s="49" t="inlineStr">
        <is>
          <t>Coromandel Mountains Company Limited</t>
        </is>
      </c>
      <c r="C354" s="49" t="inlineStr">
        <is>
          <t>Freight DIFOT</t>
        </is>
      </c>
      <c r="E354" s="49" t="n">
        <v>0.95</v>
      </c>
      <c r="F354" s="49" t="n">
        <v>36</v>
      </c>
      <c r="G354" s="49" t="n">
        <v>38</v>
      </c>
      <c r="H354" s="49">
        <f>F354/G354</f>
        <v/>
      </c>
      <c r="I354" s="49">
        <f>IF(H354&gt;=E354,"Yes","No")</f>
        <v/>
      </c>
      <c r="J354" s="49" t="inlineStr">
        <is>
          <t>Below target - investigate root cause and add to next month's action plan</t>
        </is>
      </c>
    </row>
    <row r="355">
      <c r="A355" s="90" t="n">
        <v>46266</v>
      </c>
      <c r="B355" s="49" t="inlineStr">
        <is>
          <t>EcoPallets</t>
        </is>
      </c>
      <c r="C355" s="49" t="inlineStr">
        <is>
          <t>Freight DIFOT</t>
        </is>
      </c>
      <c r="E355" s="49" t="n">
        <v>0.95</v>
      </c>
      <c r="F355" s="49" t="n">
        <v>6</v>
      </c>
      <c r="G355" s="49" t="n">
        <v>7</v>
      </c>
      <c r="H355" s="49">
        <f>F355/G355</f>
        <v/>
      </c>
      <c r="I355" s="49">
        <f>IF(H355&gt;=E355,"Yes","No")</f>
        <v/>
      </c>
      <c r="J355" s="49" t="inlineStr">
        <is>
          <t>Below target - investigate root cause and add to next month's action plan</t>
        </is>
      </c>
    </row>
    <row r="356">
      <c r="A356" s="90" t="n">
        <v>46266</v>
      </c>
      <c r="B356" s="49" t="inlineStr">
        <is>
          <t>Flo &amp; Frankie</t>
        </is>
      </c>
      <c r="C356" s="49" t="inlineStr">
        <is>
          <t>Freight DIFOT</t>
        </is>
      </c>
      <c r="E356" s="49" t="n">
        <v>0.95</v>
      </c>
      <c r="F356" s="49" t="n">
        <v>11</v>
      </c>
      <c r="G356" s="49" t="n">
        <v>13</v>
      </c>
      <c r="H356" s="49">
        <f>F356/G356</f>
        <v/>
      </c>
      <c r="I356" s="49">
        <f>IF(H356&gt;=E356,"Yes","No")</f>
        <v/>
      </c>
      <c r="J356" s="49" t="inlineStr">
        <is>
          <t>Below target - investigate root cause and add to next month's action plan</t>
        </is>
      </c>
    </row>
    <row r="357">
      <c r="A357" s="90" t="n">
        <v>46266</v>
      </c>
      <c r="B357" s="49" t="inlineStr">
        <is>
          <t>Gym Equip</t>
        </is>
      </c>
      <c r="C357" s="49" t="inlineStr">
        <is>
          <t>Freight DIFOT</t>
        </is>
      </c>
      <c r="E357" s="49" t="n">
        <v>0.95</v>
      </c>
      <c r="F357" s="49" t="n">
        <v>17</v>
      </c>
      <c r="G357" s="49" t="n">
        <v>19</v>
      </c>
      <c r="H357" s="49">
        <f>F357/G357</f>
        <v/>
      </c>
      <c r="I357" s="49">
        <f>IF(H357&gt;=E357,"Yes","No")</f>
        <v/>
      </c>
      <c r="J357" s="49" t="inlineStr">
        <is>
          <t>Below target - investigate root cause and add to next month's action plan</t>
        </is>
      </c>
    </row>
    <row r="358">
      <c r="A358" s="90" t="n">
        <v>46266</v>
      </c>
      <c r="B358" s="49" t="inlineStr">
        <is>
          <t>Interior Images</t>
        </is>
      </c>
      <c r="C358" s="49" t="inlineStr">
        <is>
          <t>Freight DIFOT</t>
        </is>
      </c>
      <c r="E358" s="49" t="n">
        <v>0.95</v>
      </c>
      <c r="F358" s="49" t="n">
        <v>1</v>
      </c>
      <c r="G358" s="49" t="n">
        <v>1</v>
      </c>
      <c r="H358" s="49">
        <f>F358/G358</f>
        <v/>
      </c>
      <c r="I358" s="49">
        <f>IF(H358&gt;=E358,"Yes","No")</f>
        <v/>
      </c>
    </row>
    <row r="359">
      <c r="A359" s="90" t="n">
        <v>46266</v>
      </c>
      <c r="B359" s="49" t="inlineStr">
        <is>
          <t>Jock Freight - SECA</t>
        </is>
      </c>
      <c r="C359" s="49" t="inlineStr">
        <is>
          <t>Freight DIFOT</t>
        </is>
      </c>
      <c r="E359" s="49" t="n">
        <v>0.95</v>
      </c>
      <c r="F359" s="49" t="n">
        <v>8</v>
      </c>
      <c r="G359" s="49" t="n">
        <v>9</v>
      </c>
      <c r="H359" s="49">
        <f>F359/G359</f>
        <v/>
      </c>
      <c r="I359" s="49">
        <f>IF(H359&gt;=E359,"Yes","No")</f>
        <v/>
      </c>
      <c r="J359" s="49" t="inlineStr">
        <is>
          <t>Below target - investigate root cause and add to next month's action plan</t>
        </is>
      </c>
    </row>
    <row r="360">
      <c r="A360" s="90" t="n">
        <v>46266</v>
      </c>
      <c r="B360" s="49" t="inlineStr">
        <is>
          <t>Logwin - Sikla</t>
        </is>
      </c>
      <c r="C360" s="49" t="inlineStr">
        <is>
          <t>Freight DIFOT</t>
        </is>
      </c>
      <c r="E360" s="49" t="n">
        <v>0.95</v>
      </c>
      <c r="F360" s="49" t="n">
        <v>6</v>
      </c>
      <c r="G360" s="49" t="n">
        <v>6</v>
      </c>
      <c r="H360" s="49">
        <f>F360/G360</f>
        <v/>
      </c>
      <c r="I360" s="49">
        <f>IF(H360&gt;=E360,"Yes","No")</f>
        <v/>
      </c>
    </row>
    <row r="361">
      <c r="A361" s="90" t="n">
        <v>46266</v>
      </c>
      <c r="B361" s="49" t="inlineStr">
        <is>
          <t>Made Group NZ</t>
        </is>
      </c>
      <c r="C361" s="49" t="inlineStr">
        <is>
          <t>Freight DIFOT</t>
        </is>
      </c>
      <c r="E361" s="49" t="n">
        <v>0.95</v>
      </c>
      <c r="F361" s="49" t="n">
        <v>4</v>
      </c>
      <c r="G361" s="49" t="n">
        <v>4</v>
      </c>
      <c r="H361" s="49">
        <f>F361/G361</f>
        <v/>
      </c>
      <c r="I361" s="49">
        <f>IF(H361&gt;=E361,"Yes","No")</f>
        <v/>
      </c>
    </row>
    <row r="362">
      <c r="A362" s="90" t="n">
        <v>46266</v>
      </c>
      <c r="B362" s="49" t="inlineStr">
        <is>
          <t>May Eleven NZ</t>
        </is>
      </c>
      <c r="C362" s="49" t="inlineStr">
        <is>
          <t>Freight DIFOT</t>
        </is>
      </c>
      <c r="E362" s="49" t="n">
        <v>0.95</v>
      </c>
      <c r="F362" s="49" t="n">
        <v>2</v>
      </c>
      <c r="G362" s="49" t="n">
        <v>2</v>
      </c>
      <c r="H362" s="49">
        <f>F362/G362</f>
        <v/>
      </c>
      <c r="I362" s="49">
        <f>IF(H362&gt;=E362,"Yes","No")</f>
        <v/>
      </c>
    </row>
    <row r="363">
      <c r="A363" s="90" t="n">
        <v>46266</v>
      </c>
      <c r="B363" s="49" t="inlineStr">
        <is>
          <t>Oricom</t>
        </is>
      </c>
      <c r="C363" s="49" t="inlineStr">
        <is>
          <t>Freight DIFOT</t>
        </is>
      </c>
      <c r="E363" s="49" t="n">
        <v>0.95</v>
      </c>
      <c r="F363" s="49" t="n">
        <v>84</v>
      </c>
      <c r="G363" s="49" t="n">
        <v>91</v>
      </c>
      <c r="H363" s="49">
        <f>F363/G363</f>
        <v/>
      </c>
      <c r="I363" s="49">
        <f>IF(H363&gt;=E363,"Yes","No")</f>
        <v/>
      </c>
      <c r="J363" s="49" t="inlineStr">
        <is>
          <t>Below target - investigate root cause and add to next month's action plan</t>
        </is>
      </c>
    </row>
    <row r="364">
      <c r="A364" s="90" t="n">
        <v>46266</v>
      </c>
      <c r="B364" s="49" t="inlineStr">
        <is>
          <t>Purify Me</t>
        </is>
      </c>
      <c r="C364" s="49" t="inlineStr">
        <is>
          <t>Freight DIFOT</t>
        </is>
      </c>
      <c r="E364" s="49" t="n">
        <v>0.95</v>
      </c>
      <c r="F364" s="49" t="n">
        <v>48</v>
      </c>
      <c r="G364" s="49" t="n">
        <v>53</v>
      </c>
      <c r="H364" s="49">
        <f>F364/G364</f>
        <v/>
      </c>
      <c r="I364" s="49">
        <f>IF(H364&gt;=E364,"Yes","No")</f>
        <v/>
      </c>
      <c r="J364" s="49" t="inlineStr">
        <is>
          <t>Below target - investigate root cause and add to next month's action plan</t>
        </is>
      </c>
    </row>
    <row r="365">
      <c r="A365" s="90" t="n">
        <v>46266</v>
      </c>
      <c r="B365" s="49" t="inlineStr">
        <is>
          <t>Salt Shark</t>
        </is>
      </c>
      <c r="C365" s="49" t="inlineStr">
        <is>
          <t>Freight DIFOT</t>
        </is>
      </c>
      <c r="E365" s="49" t="n">
        <v>0.95</v>
      </c>
      <c r="F365" s="49" t="n">
        <v>41</v>
      </c>
      <c r="G365" s="49" t="n">
        <v>43</v>
      </c>
      <c r="H365" s="49">
        <f>F365/G365</f>
        <v/>
      </c>
      <c r="I365" s="49">
        <f>IF(H365&gt;=E365,"Yes","No")</f>
        <v/>
      </c>
    </row>
    <row r="366">
      <c r="A366" s="90" t="n">
        <v>46266</v>
      </c>
      <c r="B366" s="49" t="inlineStr">
        <is>
          <t>Simply Clean</t>
        </is>
      </c>
      <c r="C366" s="49" t="inlineStr">
        <is>
          <t>Freight DIFOT</t>
        </is>
      </c>
      <c r="E366" s="49" t="n">
        <v>0.95</v>
      </c>
      <c r="F366" s="49" t="n">
        <v>87</v>
      </c>
      <c r="G366" s="49" t="n">
        <v>94</v>
      </c>
      <c r="H366" s="49">
        <f>F366/G366</f>
        <v/>
      </c>
      <c r="I366" s="49">
        <f>IF(H366&gt;=E366,"Yes","No")</f>
        <v/>
      </c>
      <c r="J366" s="49" t="inlineStr">
        <is>
          <t>Below target - investigate root cause and add to next month's action plan</t>
        </is>
      </c>
    </row>
    <row r="367">
      <c r="A367" s="90" t="n">
        <v>46266</v>
      </c>
      <c r="B367" s="49" t="inlineStr">
        <is>
          <t>Stryx</t>
        </is>
      </c>
      <c r="C367" s="49" t="inlineStr">
        <is>
          <t>Freight DIFOT</t>
        </is>
      </c>
      <c r="E367" s="49" t="n">
        <v>0.95</v>
      </c>
      <c r="F367" s="49" t="n">
        <v>20</v>
      </c>
      <c r="G367" s="49" t="n">
        <v>22</v>
      </c>
      <c r="H367" s="49">
        <f>F367/G367</f>
        <v/>
      </c>
      <c r="I367" s="49">
        <f>IF(H367&gt;=E367,"Yes","No")</f>
        <v/>
      </c>
      <c r="J367" s="49" t="inlineStr">
        <is>
          <t>Below target - investigate root cause and add to next month's action plan</t>
        </is>
      </c>
    </row>
    <row r="368">
      <c r="A368" s="90" t="n">
        <v>46266</v>
      </c>
      <c r="B368" s="49" t="inlineStr">
        <is>
          <t>Vixxen</t>
        </is>
      </c>
      <c r="C368" s="49" t="inlineStr">
        <is>
          <t>Freight DIFOT</t>
        </is>
      </c>
      <c r="E368" s="49" t="n">
        <v>0.95</v>
      </c>
      <c r="F368" s="49" t="n">
        <v>169</v>
      </c>
      <c r="G368" s="49" t="n">
        <v>185</v>
      </c>
      <c r="H368" s="49">
        <f>F368/G368</f>
        <v/>
      </c>
      <c r="I368" s="49">
        <f>IF(H368&gt;=E368,"Yes","No")</f>
        <v/>
      </c>
      <c r="J368" s="49" t="inlineStr">
        <is>
          <t>Below target - investigate root cause and add to next month's action plan</t>
        </is>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49" min="1" max="2"/>
    <col width="16" customWidth="1" style="49" min="3" max="5"/>
    <col width="50" customWidth="1" style="49" min="6" max="7"/>
  </cols>
  <sheetData>
    <row r="1" ht="17.25" customHeight="1" s="50">
      <c r="A1" s="80" t="inlineStr">
        <is>
          <t>Exceptions</t>
        </is>
      </c>
    </row>
    <row r="3" ht="15" customHeight="1" s="50">
      <c r="A3" s="81" t="inlineStr">
        <is>
          <t>Customer Cutoff Time Overrides</t>
        </is>
      </c>
    </row>
    <row r="4" ht="15" customHeight="1" s="50">
      <c r="A4" s="82" t="inlineStr">
        <is>
          <t>Customer</t>
        </is>
      </c>
      <c r="B4" s="82" t="inlineStr">
        <is>
          <t>Cutoff Time (HH:MM, 24hr)</t>
        </is>
      </c>
      <c r="C4" s="82" t="inlineStr">
        <is>
          <t>Deadline Rule</t>
        </is>
      </c>
      <c r="D4" s="82" t="inlineStr">
        <is>
          <t>Effective From</t>
        </is>
      </c>
      <c r="E4" s="82" t="inlineStr">
        <is>
          <t>Effective To</t>
        </is>
      </c>
      <c r="F4" s="82" t="inlineStr">
        <is>
          <t>Reason</t>
        </is>
      </c>
      <c r="G4" s="49" t="inlineStr">
        <is>
          <t>After-cutoff extra business days</t>
        </is>
      </c>
      <c r="H4" s="49" t="inlineStr">
        <is>
          <t>Use packed timestamp (Y/N)</t>
        </is>
      </c>
    </row>
    <row r="5" ht="34.5" customHeight="1" s="50">
      <c r="A5" s="49" t="inlineStr">
        <is>
          <t>Logwin - Sikla</t>
        </is>
      </c>
      <c r="B5" s="49" t="inlineStr">
        <is>
          <t>12:00</t>
        </is>
      </c>
      <c r="C5" s="49" t="inlineStr">
        <is>
          <t>Next business day (EOD)</t>
        </is>
      </c>
      <c r="D5" s="77" t="n">
        <v>46188</v>
      </c>
      <c r="F5" s="69" t="inlineStr">
        <is>
          <t>Customer-requested: orders received before 12pm NZ time may dispatch any time up to end of next business day</t>
        </is>
      </c>
      <c r="G5" s="49" t="n">
        <v>1</v>
      </c>
      <c r="H5" s="49" t="inlineStr">
        <is>
          <t>Y</t>
        </is>
      </c>
    </row>
    <row r="6" ht="15" customHeight="1" s="50">
      <c r="A6" s="49" t="inlineStr">
        <is>
          <t>Coromandel Mountains Company Limited</t>
        </is>
      </c>
      <c r="B6" s="49" t="inlineStr">
        <is>
          <t>14:00</t>
        </is>
      </c>
      <c r="C6" s="49" t="inlineStr">
        <is>
          <t>Same day</t>
        </is>
      </c>
      <c r="D6" s="77" t="n">
        <v>46204</v>
      </c>
      <c r="F6" s="49" t="inlineStr">
        <is>
          <t>Invoice-ready-to-print workflow: dispatched timestamp is set on manual print run, not at actual dispatch. Use packed timestamp to reflect true fulfilment time.</t>
        </is>
      </c>
      <c r="G6" s="49" t="n">
        <v>0</v>
      </c>
      <c r="H6" s="49" t="inlineStr">
        <is>
          <t>Y</t>
        </is>
      </c>
    </row>
    <row r="7" ht="15" customHeight="1" s="50">
      <c r="A7" s="49" t="inlineStr">
        <is>
          <t>Jock Freight - SECA</t>
        </is>
      </c>
      <c r="B7" s="49" t="inlineStr">
        <is>
          <t>14:00</t>
        </is>
      </c>
      <c r="C7" s="49" t="inlineStr">
        <is>
          <t>Same day</t>
        </is>
      </c>
      <c r="D7" s="77" t="n">
        <v>46204</v>
      </c>
      <c r="F7" s="49" t="inlineStr">
        <is>
          <t>Invoice-ready-to-print workflow: dispatched timestamp is set on manual print run, not at actual dispatch. Use packed timestamp to reflect true fulfilment time.</t>
        </is>
      </c>
      <c r="G7" s="49" t="n">
        <v>0</v>
      </c>
      <c r="H7" s="49" t="inlineStr">
        <is>
          <t>Y</t>
        </is>
      </c>
    </row>
    <row r="8" ht="15" customHeight="1" s="50">
      <c r="A8" s="49" t="inlineStr">
        <is>
          <t>Simply Clean</t>
        </is>
      </c>
      <c r="B8" s="49" t="inlineStr">
        <is>
          <t>00:00</t>
        </is>
      </c>
      <c r="C8" s="49" t="inlineStr">
        <is>
          <t>Same day</t>
        </is>
      </c>
      <c r="D8" s="83" t="n">
        <v>46237</v>
      </c>
      <c r="E8" s="83" t="n">
        <v>46243</v>
      </c>
      <c r="F8" s="4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49" t="n">
        <v>2</v>
      </c>
    </row>
    <row r="9" ht="15" customHeight="1" s="50">
      <c r="A9" s="49" t="inlineStr">
        <is>
          <t>Salt Shark</t>
        </is>
      </c>
      <c r="B9" s="49" t="inlineStr">
        <is>
          <t>00:00</t>
        </is>
      </c>
      <c r="C9" s="49" t="inlineStr">
        <is>
          <t>Same day</t>
        </is>
      </c>
      <c r="D9" s="83" t="n">
        <v>46262</v>
      </c>
      <c r="E9" s="83" t="n">
        <v>46264</v>
      </c>
      <c r="F9" s="4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49" t="n">
        <v>1</v>
      </c>
    </row>
    <row r="15" ht="15" customHeight="1" s="50">
      <c r="A15" s="84" t="inlineStr">
        <is>
          <t>Deadline Rule must be either "Same day" or "Next business day (EOD)". Leave Effective To blank for an open-ended override. Overrides only make the deadline MORE lenient than the standard rule, never stricter.</t>
        </is>
      </c>
    </row>
    <row r="17" ht="15" customHeight="1" s="50">
      <c r="A17" s="81" t="inlineStr">
        <is>
          <t>Order-Level Exceptions</t>
        </is>
      </c>
    </row>
    <row r="18" ht="15" customHeight="1" s="50">
      <c r="A18" s="82" t="inlineStr">
        <is>
          <t>Date Logged</t>
        </is>
      </c>
      <c r="B18" s="82" t="inlineStr">
        <is>
          <t>Customer</t>
        </is>
      </c>
      <c r="C18" s="82" t="inlineStr">
        <is>
          <t>Order Reference</t>
        </is>
      </c>
      <c r="D18" s="82" t="inlineStr">
        <is>
          <t>Month (YYYY-MM)</t>
        </is>
      </c>
      <c r="E18" s="82" t="inlineStr">
        <is>
          <t>KPI</t>
        </is>
      </c>
      <c r="F18" s="82" t="inlineStr">
        <is>
          <t>Action</t>
        </is>
      </c>
      <c r="G18" s="82" t="inlineStr">
        <is>
          <t>Reason</t>
        </is>
      </c>
      <c r="H18" s="82" t="inlineStr">
        <is>
          <t>Date From</t>
        </is>
      </c>
      <c r="I18" s="82" t="inlineStr">
        <is>
          <t>Date To</t>
        </is>
      </c>
    </row>
    <row r="19" ht="15" customHeight="1" s="50">
      <c r="A19" s="77" t="n">
        <v>46203</v>
      </c>
      <c r="B19" s="49" t="inlineStr">
        <is>
          <t>Cotton Soft  - Christchurch</t>
        </is>
      </c>
      <c r="C19" s="49" t="inlineStr">
        <is>
          <t>147</t>
        </is>
      </c>
      <c r="D19" s="49" t="inlineStr">
        <is>
          <t>2026-06</t>
        </is>
      </c>
      <c r="E19" s="49" t="inlineStr">
        <is>
          <t>Dock to Stock</t>
        </is>
      </c>
      <c r="F19" s="49" t="inlineStr">
        <is>
          <t>Count as met</t>
        </is>
      </c>
      <c r="G19" s="49" t="inlineStr">
        <is>
          <t>Arrival and allocated dates manually corrected to 18-Jun in CartonCloud UI. API does not expose updated dates; counting as met per operations review.</t>
        </is>
      </c>
    </row>
    <row r="20" ht="15" customHeight="1" s="50">
      <c r="A20" s="77" t="n">
        <v>46203</v>
      </c>
      <c r="B20" s="49" t="inlineStr">
        <is>
          <t>Cotton Soft  - Christchurch</t>
        </is>
      </c>
      <c r="C20" s="49" t="inlineStr">
        <is>
          <t>148</t>
        </is>
      </c>
      <c r="D20" s="49" t="inlineStr">
        <is>
          <t>2026-06</t>
        </is>
      </c>
      <c r="E20" s="49" t="inlineStr">
        <is>
          <t>Dock to Stock</t>
        </is>
      </c>
      <c r="F20" s="49" t="inlineStr">
        <is>
          <t>Count as met</t>
        </is>
      </c>
      <c r="G20" s="49" t="inlineStr">
        <is>
          <t>Arrival and allocated dates manually corrected to 18-Jun in CartonCloud UI. API does not expose updated dates; counting as met per operations review.</t>
        </is>
      </c>
    </row>
    <row r="21" ht="15" customHeight="1" s="50">
      <c r="A21" s="77" t="n">
        <v>46205</v>
      </c>
      <c r="B21" s="49" t="inlineStr">
        <is>
          <t>Salt Shark</t>
        </is>
      </c>
      <c r="C21" s="49" t="inlineStr">
        <is>
          <t>1713</t>
        </is>
      </c>
      <c r="D21" s="49" t="inlineStr">
        <is>
          <t>2026-07</t>
        </is>
      </c>
      <c r="E21" s="49" t="inlineStr">
        <is>
          <t>Order Cut Off</t>
        </is>
      </c>
      <c r="F21" s="49" t="inlineStr">
        <is>
          <t>Exclude from calculation</t>
        </is>
      </c>
      <c r="G21" s="49" t="inlineStr">
        <is>
          <t>Customer requested hold on orders 1-2 Jul 2026</t>
        </is>
      </c>
    </row>
    <row r="22" ht="15" customHeight="1" s="50">
      <c r="A22" s="77" t="n">
        <v>46205</v>
      </c>
      <c r="B22" s="49" t="inlineStr">
        <is>
          <t>Salt Shark</t>
        </is>
      </c>
      <c r="C22" s="49" t="inlineStr">
        <is>
          <t>1715</t>
        </is>
      </c>
      <c r="D22" s="49" t="inlineStr">
        <is>
          <t>2026-07</t>
        </is>
      </c>
      <c r="E22" s="49" t="inlineStr">
        <is>
          <t>Order Cut Off</t>
        </is>
      </c>
      <c r="F22" s="49" t="inlineStr">
        <is>
          <t>Exclude from calculation</t>
        </is>
      </c>
      <c r="G22" s="49" t="inlineStr">
        <is>
          <t>Customer requested hold on orders 1-2 Jul 2026</t>
        </is>
      </c>
    </row>
    <row r="23" ht="15" customHeight="1" s="50">
      <c r="A23" s="77" t="n">
        <v>46205</v>
      </c>
      <c r="B23" s="49" t="inlineStr">
        <is>
          <t>Salt Shark</t>
        </is>
      </c>
      <c r="C23" s="49" t="inlineStr">
        <is>
          <t>1716</t>
        </is>
      </c>
      <c r="D23" s="49" t="inlineStr">
        <is>
          <t>2026-07</t>
        </is>
      </c>
      <c r="E23" s="49" t="inlineStr">
        <is>
          <t>Order Cut Off</t>
        </is>
      </c>
      <c r="F23" s="49" t="inlineStr">
        <is>
          <t>Exclude from calculation</t>
        </is>
      </c>
      <c r="G23" s="49" t="inlineStr">
        <is>
          <t>Customer requested hold on orders 1-2 Jul 2026</t>
        </is>
      </c>
    </row>
    <row r="24" ht="15" customHeight="1" s="50">
      <c r="A24" s="77" t="n">
        <v>46205</v>
      </c>
      <c r="B24" s="49" t="inlineStr">
        <is>
          <t>Salt Shark</t>
        </is>
      </c>
      <c r="C24" s="49" t="inlineStr">
        <is>
          <t>1724</t>
        </is>
      </c>
      <c r="D24" s="49" t="inlineStr">
        <is>
          <t>2026-07</t>
        </is>
      </c>
      <c r="E24" s="49" t="inlineStr">
        <is>
          <t>Order Cut Off</t>
        </is>
      </c>
      <c r="F24" s="49" t="inlineStr">
        <is>
          <t>Exclude from calculation</t>
        </is>
      </c>
      <c r="G24" s="49" t="inlineStr">
        <is>
          <t>Customer requested hold on orders 1-2 Jul 2026</t>
        </is>
      </c>
    </row>
    <row r="25" ht="15" customHeight="1" s="50">
      <c r="A25" s="77" t="n">
        <v>46209</v>
      </c>
      <c r="B25" s="49" t="inlineStr">
        <is>
          <t>Made Group NZ</t>
        </is>
      </c>
      <c r="C25" s="49" t="inlineStr">
        <is>
          <t>121</t>
        </is>
      </c>
      <c r="D25" s="49" t="inlineStr">
        <is>
          <t>2026-06</t>
        </is>
      </c>
      <c r="E25" s="49" t="inlineStr">
        <is>
          <t>Dock to Stock</t>
        </is>
      </c>
      <c r="F25" s="49" t="inlineStr">
        <is>
          <t>Count as met</t>
        </is>
      </c>
      <c r="G25" s="49" t="inlineStr">
        <is>
          <t>Arrival dates corrected in CartonCloud UI — API does not reflect update. All POs confirmed as meeting 48hr target per operations review.</t>
        </is>
      </c>
    </row>
    <row r="26" ht="15" customHeight="1" s="50">
      <c r="A26" s="77" t="n">
        <v>46209</v>
      </c>
      <c r="B26" s="49" t="inlineStr">
        <is>
          <t>Made Group NZ</t>
        </is>
      </c>
      <c r="C26" s="49" t="inlineStr">
        <is>
          <t>122</t>
        </is>
      </c>
      <c r="D26" s="49" t="inlineStr">
        <is>
          <t>2026-06</t>
        </is>
      </c>
      <c r="E26" s="49" t="inlineStr">
        <is>
          <t>Dock to Stock</t>
        </is>
      </c>
      <c r="F26" s="49" t="inlineStr">
        <is>
          <t>Count as met</t>
        </is>
      </c>
      <c r="G26" s="49" t="inlineStr">
        <is>
          <t>Arrival dates corrected in CartonCloud UI — API does not reflect update. All POs confirmed as meeting 48hr target per operations review.</t>
        </is>
      </c>
    </row>
    <row r="27" ht="15" customHeight="1" s="50">
      <c r="A27" s="77" t="n">
        <v>46209</v>
      </c>
      <c r="B27" s="49" t="inlineStr">
        <is>
          <t>Made Group NZ</t>
        </is>
      </c>
      <c r="C27" s="49" t="inlineStr">
        <is>
          <t>123</t>
        </is>
      </c>
      <c r="D27" s="49" t="inlineStr">
        <is>
          <t>2026-06</t>
        </is>
      </c>
      <c r="E27" s="49" t="inlineStr">
        <is>
          <t>Dock to Stock</t>
        </is>
      </c>
      <c r="F27" s="49" t="inlineStr">
        <is>
          <t>Count as met</t>
        </is>
      </c>
      <c r="G27" s="49" t="inlineStr">
        <is>
          <t>Arrival dates corrected in CartonCloud UI — API does not reflect update. All POs confirmed as meeting 48hr target per operations review.</t>
        </is>
      </c>
    </row>
    <row r="28" ht="15" customHeight="1" s="50">
      <c r="A28" s="77" t="n">
        <v>46209</v>
      </c>
      <c r="B28" s="49" t="inlineStr">
        <is>
          <t>Made Group NZ</t>
        </is>
      </c>
      <c r="C28" s="49" t="inlineStr">
        <is>
          <t>124</t>
        </is>
      </c>
      <c r="D28" s="49" t="inlineStr">
        <is>
          <t>2026-06</t>
        </is>
      </c>
      <c r="E28" s="49" t="inlineStr">
        <is>
          <t>Dock to Stock</t>
        </is>
      </c>
      <c r="F28" s="49" t="inlineStr">
        <is>
          <t>Count as met</t>
        </is>
      </c>
      <c r="G28" s="49" t="inlineStr">
        <is>
          <t>Arrival dates corrected in CartonCloud UI — API does not reflect update. All POs confirmed as meeting 48hr target per operations review.</t>
        </is>
      </c>
    </row>
    <row r="29" ht="15" customHeight="1" s="50">
      <c r="A29" s="77" t="n">
        <v>46209</v>
      </c>
      <c r="B29" s="49" t="inlineStr">
        <is>
          <t>Made Group NZ</t>
        </is>
      </c>
      <c r="C29" s="49" t="inlineStr">
        <is>
          <t>125</t>
        </is>
      </c>
      <c r="D29" s="49" t="inlineStr">
        <is>
          <t>2026-06</t>
        </is>
      </c>
      <c r="E29" s="49" t="inlineStr">
        <is>
          <t>Dock to Stock</t>
        </is>
      </c>
      <c r="F29" s="49" t="inlineStr">
        <is>
          <t>Count as met</t>
        </is>
      </c>
      <c r="G29" s="49" t="inlineStr">
        <is>
          <t>Arrival dates corrected in CartonCloud UI — API does not reflect update. All POs confirmed as meeting 48hr target per operations review.</t>
        </is>
      </c>
    </row>
    <row r="30" ht="15" customHeight="1" s="50">
      <c r="A30" s="77" t="n">
        <v>46209</v>
      </c>
      <c r="B30" s="49" t="inlineStr">
        <is>
          <t>Made Group NZ</t>
        </is>
      </c>
      <c r="C30" s="49" t="inlineStr">
        <is>
          <t>126</t>
        </is>
      </c>
      <c r="D30" s="49" t="inlineStr">
        <is>
          <t>2026-06</t>
        </is>
      </c>
      <c r="E30" s="49" t="inlineStr">
        <is>
          <t>Dock to Stock</t>
        </is>
      </c>
      <c r="F30" s="49" t="inlineStr">
        <is>
          <t>Count as met</t>
        </is>
      </c>
      <c r="G30" s="49" t="inlineStr">
        <is>
          <t>Arrival dates corrected in CartonCloud UI — API does not reflect update. All POs confirmed as meeting 48hr target per operations review.</t>
        </is>
      </c>
    </row>
    <row r="31" ht="15" customHeight="1" s="50">
      <c r="A31" s="77" t="n">
        <v>46209</v>
      </c>
      <c r="B31" s="49" t="inlineStr">
        <is>
          <t>Made Group NZ</t>
        </is>
      </c>
      <c r="C31" s="49" t="inlineStr">
        <is>
          <t>127</t>
        </is>
      </c>
      <c r="D31" s="49" t="inlineStr">
        <is>
          <t>2026-06</t>
        </is>
      </c>
      <c r="E31" s="49" t="inlineStr">
        <is>
          <t>Dock to Stock</t>
        </is>
      </c>
      <c r="F31" s="49" t="inlineStr">
        <is>
          <t>Count as met</t>
        </is>
      </c>
      <c r="G31" s="49" t="inlineStr">
        <is>
          <t>Arrival dates corrected in CartonCloud UI — API does not reflect update. All POs confirmed as meeting 48hr target per operations review.</t>
        </is>
      </c>
    </row>
    <row r="32" ht="15" customHeight="1" s="50">
      <c r="A32" s="77" t="n">
        <v>46209</v>
      </c>
      <c r="B32" s="49" t="inlineStr">
        <is>
          <t>Made Group NZ</t>
        </is>
      </c>
      <c r="C32" s="49" t="inlineStr">
        <is>
          <t>128</t>
        </is>
      </c>
      <c r="D32" s="49" t="inlineStr">
        <is>
          <t>2026-06</t>
        </is>
      </c>
      <c r="E32" s="49" t="inlineStr">
        <is>
          <t>Dock to Stock</t>
        </is>
      </c>
      <c r="F32" s="49" t="inlineStr">
        <is>
          <t>Count as met</t>
        </is>
      </c>
      <c r="G32" s="49" t="inlineStr">
        <is>
          <t>Arrival dates corrected in CartonCloud UI — API does not reflect update. All POs confirmed as meeting 48hr target per operations review.</t>
        </is>
      </c>
    </row>
    <row r="33" ht="34.5" customHeight="1" s="50">
      <c r="A33" s="77" t="n">
        <v>46209</v>
      </c>
      <c r="B33" s="49" t="inlineStr">
        <is>
          <t>Made Group NZ</t>
        </is>
      </c>
      <c r="C33" s="49" t="inlineStr">
        <is>
          <t>129</t>
        </is>
      </c>
      <c r="D33" s="49" t="inlineStr">
        <is>
          <t>2026-06</t>
        </is>
      </c>
      <c r="E33" s="49" t="inlineStr">
        <is>
          <t>Dock to Stock</t>
        </is>
      </c>
      <c r="F33" s="49" t="inlineStr">
        <is>
          <t>Count as met</t>
        </is>
      </c>
      <c r="G33" s="49" t="inlineStr">
        <is>
          <t>Arrival dates corrected in CartonCloud UI — API does not reflect update. All POs confirmed as meeting 48hr target per operations review.</t>
        </is>
      </c>
    </row>
    <row r="34" ht="15" customHeight="1" s="50">
      <c r="A34" s="77" t="n">
        <v>46209</v>
      </c>
      <c r="B34" s="49" t="inlineStr">
        <is>
          <t>Made Group NZ</t>
        </is>
      </c>
      <c r="C34" s="49" t="inlineStr">
        <is>
          <t>130</t>
        </is>
      </c>
      <c r="D34" s="49" t="inlineStr">
        <is>
          <t>2026-06</t>
        </is>
      </c>
      <c r="E34" s="49" t="inlineStr">
        <is>
          <t>Dock to Stock</t>
        </is>
      </c>
      <c r="F34" s="49" t="inlineStr">
        <is>
          <t>Count as met</t>
        </is>
      </c>
      <c r="G34" s="49" t="inlineStr">
        <is>
          <t>Arrival dates corrected in CartonCloud UI — API does not reflect update. All POs confirmed as meeting 48hr target per operations review.</t>
        </is>
      </c>
    </row>
    <row r="35" ht="15" customHeight="1" s="50">
      <c r="A35" s="77" t="n">
        <v>46209</v>
      </c>
      <c r="B35" s="49" t="inlineStr">
        <is>
          <t>Made Group NZ</t>
        </is>
      </c>
      <c r="C35" s="49" t="inlineStr">
        <is>
          <t>131</t>
        </is>
      </c>
      <c r="D35" s="49" t="inlineStr">
        <is>
          <t>2026-06</t>
        </is>
      </c>
      <c r="E35" s="49" t="inlineStr">
        <is>
          <t>Dock to Stock</t>
        </is>
      </c>
      <c r="F35" s="49" t="inlineStr">
        <is>
          <t>Count as met</t>
        </is>
      </c>
      <c r="G35" s="49" t="inlineStr">
        <is>
          <t>Arrival dates corrected in CartonCloud UI — API does not reflect update. All POs confirmed as meeting 48hr target per operations review.</t>
        </is>
      </c>
    </row>
    <row r="40" ht="15" customHeight="1" s="50">
      <c r="A40" s="77" t="n">
        <v>46196</v>
      </c>
    </row>
    <row r="41" ht="15" customHeight="1" s="50">
      <c r="A41" s="77" t="n">
        <v>46196</v>
      </c>
    </row>
    <row r="42" ht="15" customHeight="1" s="50">
      <c r="A42" s="77" t="n">
        <v>46196</v>
      </c>
    </row>
    <row r="43" ht="21.75" customHeight="1" s="50">
      <c r="A43" s="77" t="n">
        <v>46196</v>
      </c>
    </row>
    <row r="44" ht="15" customHeight="1" s="50">
      <c r="A44" s="77" t="n">
        <v>46196</v>
      </c>
    </row>
    <row r="45" ht="15" customHeight="1" s="50">
      <c r="A45" s="77" t="n">
        <v>46196</v>
      </c>
    </row>
    <row r="46" ht="15.75" customHeight="1" s="50">
      <c r="A46" s="77" t="n">
        <v>46196</v>
      </c>
    </row>
    <row r="47" ht="13.5" customHeight="1" s="50">
      <c r="A47" s="77" t="n">
        <v>46196</v>
      </c>
    </row>
    <row r="48" ht="27.75" customHeight="1" s="50">
      <c r="A48" s="77" t="n">
        <v>46196</v>
      </c>
    </row>
    <row r="49" ht="27.75" customHeight="1" s="50">
      <c r="A49" s="77" t="n">
        <v>46196</v>
      </c>
    </row>
    <row r="50" ht="27.75" customHeight="1" s="50">
      <c r="A50" s="77" t="n">
        <v>46196</v>
      </c>
    </row>
    <row r="51" ht="27.75" customHeight="1" s="50">
      <c r="A51" s="77" t="n">
        <v>46196</v>
      </c>
    </row>
    <row r="52" ht="15" customHeight="1" s="50">
      <c r="A52" s="77" t="n">
        <v>46196</v>
      </c>
    </row>
    <row r="53" ht="55.5" customHeight="1" s="50">
      <c r="A53" s="77" t="n">
        <v>46196</v>
      </c>
    </row>
    <row r="54" ht="15" customHeight="1" s="50">
      <c r="A54" s="77" t="n">
        <v>46196</v>
      </c>
    </row>
    <row r="55" ht="15" customHeight="1" s="50">
      <c r="A55" s="77" t="n">
        <v>46196</v>
      </c>
    </row>
    <row r="56" ht="15.75" customHeight="1" s="50">
      <c r="A56" s="77" t="n">
        <v>46196</v>
      </c>
    </row>
    <row r="57" ht="13.5" customHeight="1" s="50">
      <c r="A57" s="77" t="n">
        <v>46196</v>
      </c>
    </row>
    <row r="58" ht="27.75" customHeight="1" s="50">
      <c r="A58" s="77" t="n">
        <v>46196</v>
      </c>
    </row>
    <row r="59" ht="15" customHeight="1" s="50">
      <c r="A59" s="77" t="n">
        <v>46196</v>
      </c>
    </row>
    <row r="60" ht="42" customHeight="1" s="50">
      <c r="A60" s="77" t="n">
        <v>46196</v>
      </c>
    </row>
    <row r="61" ht="15" customHeight="1" s="50">
      <c r="A61" s="77" t="n">
        <v>46196</v>
      </c>
      <c r="F61" s="49" t="inlineStr">
        <is>
          <t>Count as met</t>
        </is>
      </c>
      <c r="G61" s="49" t="inlineStr">
        <is>
          <t>DC recipient exception - pre-arranged booking, excluded from avg delivery days</t>
        </is>
      </c>
    </row>
    <row r="62" ht="15" customHeight="1" s="50">
      <c r="A62" s="77" t="n">
        <v>46196</v>
      </c>
      <c r="F62" s="49" t="inlineStr">
        <is>
          <t>Count as met</t>
        </is>
      </c>
      <c r="G62" s="49" t="inlineStr">
        <is>
          <t>DC recipient exception - pre-arranged booking, excluded from avg delivery days</t>
        </is>
      </c>
    </row>
    <row r="63" ht="15" customHeight="1" s="50">
      <c r="A63" s="77" t="n">
        <v>46196</v>
      </c>
    </row>
    <row r="64" ht="15" customHeight="1" s="50">
      <c r="A64" s="77" t="n">
        <v>46196</v>
      </c>
    </row>
    <row r="65" ht="15" customHeight="1" s="50">
      <c r="A65" s="77" t="n">
        <v>46199</v>
      </c>
      <c r="F65" s="49" t="inlineStr">
        <is>
          <t>Count as met</t>
        </is>
      </c>
      <c r="G65" s="49" t="inlineStr">
        <is>
          <t>DC recipient exception - pre-arranged booking, excluded from avg delivery days</t>
        </is>
      </c>
    </row>
    <row r="66" ht="15" customHeight="1" s="50">
      <c r="A66" s="77" t="n">
        <v>46199</v>
      </c>
      <c r="B66" s="49" t="inlineStr">
        <is>
          <t>Oricom</t>
        </is>
      </c>
      <c r="C66" s="49" t="inlineStr">
        <is>
          <t>4521431609</t>
        </is>
      </c>
      <c r="D66" s="49" t="inlineStr">
        <is>
          <t>2026-03</t>
        </is>
      </c>
      <c r="E66" s="49" t="inlineStr">
        <is>
          <t>Freight DIFOT</t>
        </is>
      </c>
      <c r="F66" s="49" t="inlineStr">
        <is>
          <t>Count as met</t>
        </is>
      </c>
      <c r="G66" s="49" t="inlineStr">
        <is>
          <t>DC recipient exception - pre-arranged booking, excluded from avg delivery days</t>
        </is>
      </c>
    </row>
    <row r="67" ht="15" customHeight="1" s="50">
      <c r="A67" s="77" t="n">
        <v>46199</v>
      </c>
      <c r="F67" s="49" t="inlineStr">
        <is>
          <t>Count as met</t>
        </is>
      </c>
      <c r="G67" s="49" t="inlineStr">
        <is>
          <t>DC recipient exception - pre-arranged booking, excluded from avg delivery days</t>
        </is>
      </c>
    </row>
    <row r="68" ht="15" customHeight="1" s="50">
      <c r="A68" s="77" t="n">
        <v>46199</v>
      </c>
      <c r="B68" s="49" t="inlineStr">
        <is>
          <t>Oricom</t>
        </is>
      </c>
      <c r="C68" s="49" t="inlineStr">
        <is>
          <t>4706693843</t>
        </is>
      </c>
      <c r="D68" s="49" t="inlineStr">
        <is>
          <t>2026-04</t>
        </is>
      </c>
      <c r="E68" s="49" t="inlineStr">
        <is>
          <t>Freight DIFOT</t>
        </is>
      </c>
      <c r="F68" s="49" t="inlineStr">
        <is>
          <t>Count as met</t>
        </is>
      </c>
      <c r="G68" s="49" t="inlineStr">
        <is>
          <t>DC recipient exception - pre-arranged booking, excluded from avg delivery days</t>
        </is>
      </c>
    </row>
    <row r="69" ht="15" customHeight="1" s="50">
      <c r="A69" s="77" t="n">
        <v>46199</v>
      </c>
      <c r="F69" s="49" t="inlineStr">
        <is>
          <t>Count as met</t>
        </is>
      </c>
      <c r="G69" s="49" t="inlineStr">
        <is>
          <t>DC recipient exception - pre-arranged booking, excluded from avg delivery days</t>
        </is>
      </c>
    </row>
    <row r="70" ht="15" customHeight="1" s="50">
      <c r="A70" s="77" t="n">
        <v>46199</v>
      </c>
      <c r="B70" s="49" t="inlineStr">
        <is>
          <t>Oricom</t>
        </is>
      </c>
      <c r="C70" s="49" t="inlineStr">
        <is>
          <t>4706697549</t>
        </is>
      </c>
      <c r="D70" s="49" t="inlineStr">
        <is>
          <t>2026-04</t>
        </is>
      </c>
      <c r="E70" s="49" t="inlineStr">
        <is>
          <t>Freight DIFOT</t>
        </is>
      </c>
      <c r="F70" s="49" t="inlineStr">
        <is>
          <t>Count as met</t>
        </is>
      </c>
      <c r="G70" s="49" t="inlineStr">
        <is>
          <t>DC recipient exception - pre-arranged booking, excluded from avg delivery days</t>
        </is>
      </c>
    </row>
    <row r="71" ht="15" customHeight="1" s="50">
      <c r="A71" s="77" t="n">
        <v>46199</v>
      </c>
      <c r="F71" s="49" t="inlineStr">
        <is>
          <t>Count as met</t>
        </is>
      </c>
      <c r="G71" s="49" t="inlineStr">
        <is>
          <t>DC recipient exception - pre-arranged booking, excluded from avg delivery days</t>
        </is>
      </c>
    </row>
    <row r="72" ht="15" customHeight="1" s="50">
      <c r="A72" s="77" t="n">
        <v>46199</v>
      </c>
      <c r="B72" s="49" t="inlineStr">
        <is>
          <t>Oricom</t>
        </is>
      </c>
      <c r="C72" s="49" t="inlineStr">
        <is>
          <t>4521499597</t>
        </is>
      </c>
      <c r="D72" s="49" t="inlineStr">
        <is>
          <t>2026-04</t>
        </is>
      </c>
      <c r="E72" s="49" t="inlineStr">
        <is>
          <t>Freight DIFOT</t>
        </is>
      </c>
      <c r="F72" s="49" t="inlineStr">
        <is>
          <t>Count as met</t>
        </is>
      </c>
      <c r="G72" s="49" t="inlineStr">
        <is>
          <t>DC recipient exception - pre-arranged booking, excluded from avg delivery days</t>
        </is>
      </c>
    </row>
    <row r="73" ht="15" customHeight="1" s="50">
      <c r="A73" s="77" t="n">
        <v>46199</v>
      </c>
      <c r="B73" s="49" t="inlineStr">
        <is>
          <t>Oricom</t>
        </is>
      </c>
      <c r="C73" s="49" t="inlineStr">
        <is>
          <t>4706734478</t>
        </is>
      </c>
      <c r="D73" s="49" t="inlineStr">
        <is>
          <t>2026-04</t>
        </is>
      </c>
      <c r="E73" s="49" t="inlineStr">
        <is>
          <t>Freight DIFOT</t>
        </is>
      </c>
      <c r="F73" s="49" t="inlineStr">
        <is>
          <t>Count as met</t>
        </is>
      </c>
      <c r="G73" s="49" t="inlineStr">
        <is>
          <t>DC recipient exception - pre-arranged booking, excluded from avg delivery days</t>
        </is>
      </c>
    </row>
    <row r="74" ht="15" customHeight="1" s="50">
      <c r="A74" s="77" t="n">
        <v>46199</v>
      </c>
      <c r="B74" s="49" t="inlineStr">
        <is>
          <t>Oricom</t>
        </is>
      </c>
      <c r="C74" s="49" t="inlineStr">
        <is>
          <t>4521521207</t>
        </is>
      </c>
      <c r="D74" s="49" t="inlineStr">
        <is>
          <t>2026-04</t>
        </is>
      </c>
      <c r="E74" s="49" t="inlineStr">
        <is>
          <t>Freight DIFOT</t>
        </is>
      </c>
      <c r="F74" s="49" t="inlineStr">
        <is>
          <t>Count as met</t>
        </is>
      </c>
      <c r="G74" s="49" t="inlineStr">
        <is>
          <t>DC recipient exception - pre-arranged booking, excluded from avg delivery days</t>
        </is>
      </c>
    </row>
    <row r="75" ht="15" customHeight="1" s="50">
      <c r="A75" s="77" t="n">
        <v>46199</v>
      </c>
      <c r="B75" s="49" t="inlineStr">
        <is>
          <t>Oricom</t>
        </is>
      </c>
      <c r="C75" s="49" t="inlineStr">
        <is>
          <t>4706724527</t>
        </is>
      </c>
      <c r="D75" s="49" t="inlineStr">
        <is>
          <t>2026-04</t>
        </is>
      </c>
      <c r="E75" s="49" t="inlineStr">
        <is>
          <t>Freight DIFOT</t>
        </is>
      </c>
      <c r="F75" s="49" t="inlineStr">
        <is>
          <t>Count as met</t>
        </is>
      </c>
      <c r="G75" s="49" t="inlineStr">
        <is>
          <t>DC recipient exception - pre-arranged booking, excluded from avg delivery days</t>
        </is>
      </c>
    </row>
    <row r="76" ht="15" customHeight="1" s="50">
      <c r="A76" s="77" t="n">
        <v>46199</v>
      </c>
      <c r="B76" s="49" t="inlineStr">
        <is>
          <t>Oricom</t>
        </is>
      </c>
      <c r="C76" s="49" t="inlineStr">
        <is>
          <t>4521542912</t>
        </is>
      </c>
      <c r="D76" s="49" t="inlineStr">
        <is>
          <t>2026-04</t>
        </is>
      </c>
      <c r="E76" s="49" t="inlineStr">
        <is>
          <t>Freight DIFOT</t>
        </is>
      </c>
      <c r="F76" s="49" t="inlineStr">
        <is>
          <t>Count as met</t>
        </is>
      </c>
      <c r="G76" s="49" t="inlineStr">
        <is>
          <t>DC recipient exception - pre-arranged booking, excluded from avg delivery days</t>
        </is>
      </c>
    </row>
    <row r="77" ht="15" customHeight="1" s="50">
      <c r="A77" s="77" t="n">
        <v>46199</v>
      </c>
      <c r="B77" s="49" t="inlineStr">
        <is>
          <t>Oricom</t>
        </is>
      </c>
      <c r="C77" s="49" t="inlineStr">
        <is>
          <t>4521559086</t>
        </is>
      </c>
      <c r="D77" s="49" t="inlineStr">
        <is>
          <t>2026-05</t>
        </is>
      </c>
      <c r="E77" s="49" t="inlineStr">
        <is>
          <t>Freight DIFOT</t>
        </is>
      </c>
      <c r="F77" s="49" t="inlineStr">
        <is>
          <t>Count as met</t>
        </is>
      </c>
      <c r="G77" s="49" t="inlineStr">
        <is>
          <t>DC recipient exception - pre-arranged booking, excluded from avg delivery days</t>
        </is>
      </c>
    </row>
    <row r="78" ht="15" customHeight="1" s="50">
      <c r="A78" s="77" t="n">
        <v>46199</v>
      </c>
      <c r="B78" s="49" t="inlineStr">
        <is>
          <t>Oricom</t>
        </is>
      </c>
      <c r="C78" s="49" t="inlineStr">
        <is>
          <t>4521583519</t>
        </is>
      </c>
      <c r="D78" s="49" t="inlineStr">
        <is>
          <t>2026-05</t>
        </is>
      </c>
      <c r="E78" s="49" t="inlineStr">
        <is>
          <t>Freight DIFOT</t>
        </is>
      </c>
      <c r="F78" s="49" t="inlineStr">
        <is>
          <t>Count as met</t>
        </is>
      </c>
      <c r="G78" s="49" t="inlineStr">
        <is>
          <t>DC recipient exception - pre-arranged booking, excluded from avg delivery days</t>
        </is>
      </c>
    </row>
    <row r="79" ht="15" customHeight="1" s="50">
      <c r="A79" s="77" t="n">
        <v>46199</v>
      </c>
      <c r="B79" s="49" t="inlineStr">
        <is>
          <t>Oricom</t>
        </is>
      </c>
      <c r="C79" s="49" t="inlineStr">
        <is>
          <t>4521604055</t>
        </is>
      </c>
      <c r="D79" s="49" t="inlineStr">
        <is>
          <t>2026-05</t>
        </is>
      </c>
      <c r="E79" s="49" t="inlineStr">
        <is>
          <t>Freight DIFOT</t>
        </is>
      </c>
      <c r="F79" s="49" t="inlineStr">
        <is>
          <t>Count as met</t>
        </is>
      </c>
      <c r="G79" s="49" t="inlineStr">
        <is>
          <t>DC recipient exception - pre-arranged booking, excluded from avg delivery days</t>
        </is>
      </c>
    </row>
    <row r="80" ht="15" customHeight="1" s="50">
      <c r="A80" s="77" t="n">
        <v>46199</v>
      </c>
      <c r="B80" s="49" t="inlineStr">
        <is>
          <t>Oricom</t>
        </is>
      </c>
      <c r="C80" s="49" t="inlineStr">
        <is>
          <t>S 001 194615</t>
        </is>
      </c>
      <c r="D80" s="49" t="inlineStr">
        <is>
          <t>2026-05</t>
        </is>
      </c>
      <c r="E80" s="49" t="inlineStr">
        <is>
          <t>Freight DIFOT</t>
        </is>
      </c>
      <c r="F80" s="49" t="inlineStr">
        <is>
          <t>Count as met</t>
        </is>
      </c>
      <c r="G80" s="49" t="inlineStr">
        <is>
          <t>DC recipient exception - pre-arranged booking, excluded from avg delivery days</t>
        </is>
      </c>
    </row>
    <row r="81" ht="15" customHeight="1" s="50">
      <c r="A81" s="77" t="n">
        <v>46199</v>
      </c>
      <c r="B81" s="49" t="inlineStr">
        <is>
          <t>Oricom</t>
        </is>
      </c>
      <c r="C81" s="49" t="inlineStr">
        <is>
          <t>4521643006</t>
        </is>
      </c>
      <c r="D81" s="49" t="inlineStr">
        <is>
          <t>2026-05</t>
        </is>
      </c>
      <c r="E81" s="49" t="inlineStr">
        <is>
          <t>Freight DIFOT</t>
        </is>
      </c>
      <c r="F81" s="49" t="inlineStr">
        <is>
          <t>Count as met</t>
        </is>
      </c>
      <c r="G81" s="49" t="inlineStr">
        <is>
          <t>DC recipient exception - pre-arranged booking, excluded from avg delivery days</t>
        </is>
      </c>
    </row>
    <row r="82" ht="15" customHeight="1" s="50">
      <c r="A82" s="83" t="n">
        <v>46223.46704341436</v>
      </c>
      <c r="B82" s="49" t="inlineStr">
        <is>
          <t>Made Group NZ</t>
        </is>
      </c>
      <c r="C82" s="49" t="inlineStr">
        <is>
          <t>*</t>
        </is>
      </c>
      <c r="E82" s="49" t="inlineStr">
        <is>
          <t>Order Cut Off</t>
        </is>
      </c>
      <c r="F82" s="49" t="inlineStr">
        <is>
          <t>Count as met</t>
        </is>
      </c>
      <c r="G82" s="49" t="inlineStr">
        <is>
          <t>Orders manually processed outside Starshipit — all orders confirmed met per operations agreement</t>
        </is>
      </c>
    </row>
    <row r="83" ht="15" customHeight="1" s="50">
      <c r="A83" s="83" t="n">
        <v>46230</v>
      </c>
      <c r="B83" s="49" t="inlineStr">
        <is>
          <t>Logwin - Sikla</t>
        </is>
      </c>
      <c r="C83" s="49" t="inlineStr">
        <is>
          <t>*</t>
        </is>
      </c>
      <c r="E83" s="49" t="inlineStr">
        <is>
          <t>Order Cut Off</t>
        </is>
      </c>
      <c r="F83" s="49" t="inlineStr">
        <is>
          <t>Count as met</t>
        </is>
      </c>
      <c r="G83" s="49" t="inlineStr">
        <is>
          <t>Customer-requested: all orders received Wed 22 Jul - Tue 28 Jul 2026 count as meeting Order Cut Off regardless of dispatch timing</t>
        </is>
      </c>
      <c r="H83" s="77" t="n">
        <v>46225</v>
      </c>
      <c r="I83" s="77" t="n">
        <v>46231</v>
      </c>
    </row>
    <row r="84" ht="15" customHeight="1" s="50">
      <c r="A84" s="83" t="n">
        <v>46237</v>
      </c>
      <c r="B84" s="49" t="inlineStr">
        <is>
          <t>Vixxen</t>
        </is>
      </c>
      <c r="C84" s="49" t="inlineStr">
        <is>
          <t>2063</t>
        </is>
      </c>
      <c r="D84" s="49" t="inlineStr">
        <is>
          <t>2026-07</t>
        </is>
      </c>
      <c r="E84" s="49" t="inlineStr">
        <is>
          <t>Order Cut Off</t>
        </is>
      </c>
      <c r="F84" s="49" t="inlineStr">
        <is>
          <t>Count as met</t>
        </is>
      </c>
      <c r="G84"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ht="15" customHeight="1" s="50">
      <c r="A85" s="83" t="n">
        <v>46237</v>
      </c>
      <c r="B85" s="49" t="inlineStr">
        <is>
          <t>Vixxen</t>
        </is>
      </c>
      <c r="C85" s="49" t="inlineStr">
        <is>
          <t>2067</t>
        </is>
      </c>
      <c r="D85" s="49" t="inlineStr">
        <is>
          <t>2026-07</t>
        </is>
      </c>
      <c r="E85" s="49" t="inlineStr">
        <is>
          <t>Order Cut Off</t>
        </is>
      </c>
      <c r="F85" s="49" t="inlineStr">
        <is>
          <t>Count as met</t>
        </is>
      </c>
      <c r="G85"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ht="15" customHeight="1" s="50">
      <c r="A86" s="83" t="n">
        <v>46237</v>
      </c>
      <c r="B86" s="49" t="inlineStr">
        <is>
          <t>Vixxen</t>
        </is>
      </c>
      <c r="C86" s="49" t="inlineStr">
        <is>
          <t>2068</t>
        </is>
      </c>
      <c r="D86" s="49" t="inlineStr">
        <is>
          <t>2026-07</t>
        </is>
      </c>
      <c r="E86" s="49" t="inlineStr">
        <is>
          <t>Order Cut Off</t>
        </is>
      </c>
      <c r="F86" s="49" t="inlineStr">
        <is>
          <t>Count as met</t>
        </is>
      </c>
      <c r="G86"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ht="15" customHeight="1" s="50">
      <c r="A87" s="83" t="n">
        <v>46245</v>
      </c>
      <c r="B87" s="49" t="inlineStr">
        <is>
          <t>Vixxen</t>
        </is>
      </c>
      <c r="C87" s="49" t="inlineStr">
        <is>
          <t>2772</t>
        </is>
      </c>
      <c r="D87" s="49" t="inlineStr">
        <is>
          <t>2026-08</t>
        </is>
      </c>
      <c r="E87" s="49" t="inlineStr">
        <is>
          <t>Order Cut Off</t>
        </is>
      </c>
      <c r="F87" s="49" t="inlineStr">
        <is>
          <t>Count as met</t>
        </is>
      </c>
      <c r="G87" s="49" t="inlineStr">
        <is>
          <t>Farmers delivery orders not yet dispatched today, confirmed by operations to be completed and dispatched by 10am tomorrow (12 Aug 2026), which still makes the Farmers delivery run. One-off for today only - not a genuine cutoff miss.</t>
        </is>
      </c>
    </row>
    <row r="88" ht="15" customHeight="1" s="50">
      <c r="A88" s="83" t="n">
        <v>46245</v>
      </c>
      <c r="B88" s="49" t="inlineStr">
        <is>
          <t>Vixxen</t>
        </is>
      </c>
      <c r="C88" s="49" t="inlineStr">
        <is>
          <t>2779</t>
        </is>
      </c>
      <c r="D88" s="49" t="inlineStr">
        <is>
          <t>2026-08</t>
        </is>
      </c>
      <c r="E88" s="49" t="inlineStr">
        <is>
          <t>Order Cut Off</t>
        </is>
      </c>
      <c r="F88" s="49" t="inlineStr">
        <is>
          <t>Count as met</t>
        </is>
      </c>
      <c r="G88" s="49" t="inlineStr">
        <is>
          <t>Farmers delivery orders not yet dispatched today, confirmed by operations to be completed and dispatched by 10am tomorrow (12 Aug 2026), which still makes the Farmers delivery run. One-off for today only - not a genuine cutoff miss.</t>
        </is>
      </c>
    </row>
    <row r="89" ht="15" customHeight="1" s="50">
      <c r="A89" s="83" t="n">
        <v>46245</v>
      </c>
      <c r="B89" s="49" t="inlineStr">
        <is>
          <t>Vixxen</t>
        </is>
      </c>
      <c r="C89" s="49" t="inlineStr">
        <is>
          <t>2780</t>
        </is>
      </c>
      <c r="D89" s="49" t="inlineStr">
        <is>
          <t>2026-08</t>
        </is>
      </c>
      <c r="E89" s="49" t="inlineStr">
        <is>
          <t>Order Cut Off</t>
        </is>
      </c>
      <c r="F89" s="49" t="inlineStr">
        <is>
          <t>Count as met</t>
        </is>
      </c>
      <c r="G89" s="49" t="inlineStr">
        <is>
          <t>Farmers delivery orders not yet dispatched today, confirmed by operations to be completed and dispatched by 10am tomorrow (12 Aug 2026), which still makes the Farmers delivery run. One-off for today only - not a genuine cutoff miss.</t>
        </is>
      </c>
    </row>
    <row r="90" ht="15" customHeight="1" s="50">
      <c r="A90" s="83" t="n">
        <v>46245</v>
      </c>
      <c r="B90" s="49" t="inlineStr">
        <is>
          <t>Vixxen</t>
        </is>
      </c>
      <c r="C90" s="49" t="inlineStr">
        <is>
          <t>2810</t>
        </is>
      </c>
      <c r="D90" s="49" t="inlineStr">
        <is>
          <t>2026-08</t>
        </is>
      </c>
      <c r="E90" s="49" t="inlineStr">
        <is>
          <t>Order Cut Off</t>
        </is>
      </c>
      <c r="F90" s="49" t="inlineStr">
        <is>
          <t>Count as met</t>
        </is>
      </c>
      <c r="G90" s="49" t="inlineStr">
        <is>
          <t>Farmers delivery orders not yet dispatched today, confirmed by operations to be completed and dispatched by 10am tomorrow (12 Aug 2026), which still makes the Farmers delivery run. One-off for today only - not a genuine cutoff miss.</t>
        </is>
      </c>
    </row>
    <row r="91" ht="15" customHeight="1" s="50">
      <c r="A91" s="83" t="n">
        <v>46252</v>
      </c>
      <c r="B91" s="49" t="inlineStr">
        <is>
          <t>Oceanbridge</t>
        </is>
      </c>
      <c r="C91" s="49" t="inlineStr">
        <is>
          <t>307</t>
        </is>
      </c>
      <c r="D91" s="49" t="inlineStr">
        <is>
          <t>2026-08</t>
        </is>
      </c>
      <c r="E91" s="49" t="inlineStr">
        <is>
          <t>Dock to Stock</t>
        </is>
      </c>
      <c r="F91" s="49" t="inlineStr">
        <is>
          <t>Count as met</t>
        </is>
      </c>
      <c r="G91" s="49" t="inlineStr">
        <is>
          <t>Customer/warehouse-side issue affecting this PO (known ongoing issue with this account) - counted as met per operations review, not a genuine dock-to-stock delay.</t>
        </is>
      </c>
    </row>
    <row r="92" ht="15" customHeight="1" s="50">
      <c r="A92" s="83" t="n">
        <v>46252</v>
      </c>
      <c r="B92" s="49" t="inlineStr">
        <is>
          <t>Flo &amp; Frankie</t>
        </is>
      </c>
      <c r="C92" s="49" t="inlineStr">
        <is>
          <t>277</t>
        </is>
      </c>
      <c r="D92" s="49" t="inlineStr">
        <is>
          <t>2026-08</t>
        </is>
      </c>
      <c r="E92" s="49" t="inlineStr">
        <is>
          <t>Dock to Stock</t>
        </is>
      </c>
      <c r="F92" s="49" t="inlineStr">
        <is>
          <t>Count as met</t>
        </is>
      </c>
      <c r="G92" s="4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ht="15" customHeight="1" s="50">
      <c r="A93" s="77" t="n">
        <v>46252</v>
      </c>
      <c r="B93" s="49" t="inlineStr">
        <is>
          <t>Oricom</t>
        </is>
      </c>
      <c r="C93" s="49" t="inlineStr">
        <is>
          <t>4521806183</t>
        </is>
      </c>
      <c r="D93" s="49" t="inlineStr">
        <is>
          <t>2026-06</t>
        </is>
      </c>
      <c r="E93" s="49" t="inlineStr">
        <is>
          <t>Freight DIFOT</t>
        </is>
      </c>
      <c r="F93" s="49" t="inlineStr">
        <is>
          <t>Count as met</t>
        </is>
      </c>
      <c r="G93" s="49" t="inlineStr">
        <is>
          <t>DC recipient exception - pre-arranged booking, excluded from avg delivery days</t>
        </is>
      </c>
    </row>
    <row r="94" ht="15" customHeight="1" s="50">
      <c r="A94" s="77" t="n">
        <v>46252</v>
      </c>
      <c r="B94" s="49" t="inlineStr">
        <is>
          <t>Oricom</t>
        </is>
      </c>
      <c r="C94" s="49" t="inlineStr">
        <is>
          <t>S 038 147946</t>
        </is>
      </c>
      <c r="D94" s="49" t="inlineStr">
        <is>
          <t>2026-06</t>
        </is>
      </c>
      <c r="E94" s="49" t="inlineStr">
        <is>
          <t>Freight DIFOT</t>
        </is>
      </c>
      <c r="F94" s="49" t="inlineStr">
        <is>
          <t>Count as met</t>
        </is>
      </c>
      <c r="G94" s="49" t="inlineStr">
        <is>
          <t>DC recipient exception - pre-arranged booking, excluded from avg delivery days</t>
        </is>
      </c>
    </row>
    <row r="95" ht="15" customHeight="1" s="50">
      <c r="A95" s="77" t="n">
        <v>46252</v>
      </c>
      <c r="B95" s="49" t="inlineStr">
        <is>
          <t>Oricom</t>
        </is>
      </c>
      <c r="C95" s="49" t="inlineStr">
        <is>
          <t>S 127 025620</t>
        </is>
      </c>
      <c r="D95" s="49" t="inlineStr">
        <is>
          <t>2026-07</t>
        </is>
      </c>
      <c r="E95" s="49" t="inlineStr">
        <is>
          <t>Freight DIFOT</t>
        </is>
      </c>
      <c r="F95" s="49" t="inlineStr">
        <is>
          <t>Count as met</t>
        </is>
      </c>
      <c r="G95" s="49" t="inlineStr">
        <is>
          <t>DC recipient exception - pre-arranged booking, excluded from avg delivery days</t>
        </is>
      </c>
    </row>
    <row r="96" ht="15" customHeight="1" s="50">
      <c r="A96" s="77" t="n">
        <v>46252</v>
      </c>
      <c r="B96" s="49" t="inlineStr">
        <is>
          <t>Oricom</t>
        </is>
      </c>
      <c r="C96" s="49" t="inlineStr">
        <is>
          <t>4521829230</t>
        </is>
      </c>
      <c r="D96" s="49" t="inlineStr">
        <is>
          <t>2026-07</t>
        </is>
      </c>
      <c r="E96" s="49" t="inlineStr">
        <is>
          <t>Freight DIFOT</t>
        </is>
      </c>
      <c r="F96" s="49" t="inlineStr">
        <is>
          <t>Count as met</t>
        </is>
      </c>
      <c r="G96" s="49" t="inlineStr">
        <is>
          <t>DC recipient exception - pre-arranged booking, excluded from avg delivery days</t>
        </is>
      </c>
    </row>
    <row r="97" ht="15" customHeight="1" s="50">
      <c r="A97" s="77" t="n">
        <v>46252</v>
      </c>
      <c r="B97" s="49" t="inlineStr">
        <is>
          <t>Oricom</t>
        </is>
      </c>
      <c r="C97" s="49" t="inlineStr">
        <is>
          <t>4521897041</t>
        </is>
      </c>
      <c r="D97" s="49" t="inlineStr">
        <is>
          <t>2026-07</t>
        </is>
      </c>
      <c r="E97" s="49" t="inlineStr">
        <is>
          <t>Freight DIFOT</t>
        </is>
      </c>
      <c r="F97" s="49" t="inlineStr">
        <is>
          <t>Count as met</t>
        </is>
      </c>
      <c r="G97" s="49" t="inlineStr">
        <is>
          <t>DC recipient exception - pre-arranged booking, excluded from avg delivery days</t>
        </is>
      </c>
    </row>
    <row r="98" ht="15" customHeight="1" s="50">
      <c r="A98" s="77" t="n">
        <v>46252</v>
      </c>
      <c r="B98" s="49" t="inlineStr">
        <is>
          <t>Oricom</t>
        </is>
      </c>
      <c r="C98" s="49" t="inlineStr">
        <is>
          <t>4706928753</t>
        </is>
      </c>
      <c r="D98" s="49" t="inlineStr">
        <is>
          <t>2026-07</t>
        </is>
      </c>
      <c r="E98" s="49" t="inlineStr">
        <is>
          <t>Freight DIFOT</t>
        </is>
      </c>
      <c r="F98" s="49" t="inlineStr">
        <is>
          <t>Count as met</t>
        </is>
      </c>
      <c r="G98" s="49" t="inlineStr">
        <is>
          <t>DC recipient exception - pre-arranged booking, excluded from avg delivery days</t>
        </is>
      </c>
    </row>
    <row r="99" ht="15" customHeight="1" s="50">
      <c r="A99" s="77" t="n">
        <v>46252</v>
      </c>
      <c r="B99" s="49" t="inlineStr">
        <is>
          <t>Oricom</t>
        </is>
      </c>
      <c r="C99" s="49" t="inlineStr">
        <is>
          <t>4706935630</t>
        </is>
      </c>
      <c r="D99" s="49" t="inlineStr">
        <is>
          <t>2026-07</t>
        </is>
      </c>
      <c r="E99" s="49" t="inlineStr">
        <is>
          <t>Freight DIFOT</t>
        </is>
      </c>
      <c r="F99" s="49" t="inlineStr">
        <is>
          <t>Count as met</t>
        </is>
      </c>
      <c r="G99" s="49" t="inlineStr">
        <is>
          <t>DC recipient exception - pre-arranged booking, excluded from avg delivery days</t>
        </is>
      </c>
    </row>
    <row r="100" ht="15" customHeight="1" s="50">
      <c r="A100" s="77" t="n">
        <v>46252</v>
      </c>
      <c r="B100" s="49" t="inlineStr">
        <is>
          <t>Oricom</t>
        </is>
      </c>
      <c r="C100" s="49" t="inlineStr">
        <is>
          <t>4521926553</t>
        </is>
      </c>
      <c r="D100" s="49" t="inlineStr">
        <is>
          <t>2026-07</t>
        </is>
      </c>
      <c r="E100" s="49" t="inlineStr">
        <is>
          <t>Freight DIFOT</t>
        </is>
      </c>
      <c r="F100" s="49" t="inlineStr">
        <is>
          <t>Count as met</t>
        </is>
      </c>
      <c r="G100" s="49" t="inlineStr">
        <is>
          <t>DC recipient exception - pre-arranged booking, excluded from avg delivery days</t>
        </is>
      </c>
    </row>
    <row r="101" ht="15" customHeight="1" s="50">
      <c r="A101" s="77" t="n">
        <v>46252</v>
      </c>
      <c r="B101" s="49" t="inlineStr">
        <is>
          <t>Oricom</t>
        </is>
      </c>
      <c r="C101" s="49" t="inlineStr">
        <is>
          <t>S 122 127693</t>
        </is>
      </c>
      <c r="D101" s="49" t="inlineStr">
        <is>
          <t>2026-07</t>
        </is>
      </c>
      <c r="E101" s="49" t="inlineStr">
        <is>
          <t>Freight DIFOT</t>
        </is>
      </c>
      <c r="F101" s="49" t="inlineStr">
        <is>
          <t>Count as met</t>
        </is>
      </c>
      <c r="G101" s="49" t="inlineStr">
        <is>
          <t>DC recipient exception - pre-arranged booking, excluded from avg delivery days</t>
        </is>
      </c>
    </row>
    <row r="102" ht="15" customHeight="1" s="50">
      <c r="A102" s="77" t="n">
        <v>46252</v>
      </c>
      <c r="B102" s="49" t="inlineStr">
        <is>
          <t>Oricom</t>
        </is>
      </c>
      <c r="C102" s="49" t="inlineStr">
        <is>
          <t>4521958020</t>
        </is>
      </c>
      <c r="D102" s="49" t="inlineStr">
        <is>
          <t>2026-07</t>
        </is>
      </c>
      <c r="E102" s="49" t="inlineStr">
        <is>
          <t>Freight DIFOT</t>
        </is>
      </c>
      <c r="F102" s="49" t="inlineStr">
        <is>
          <t>Count as met</t>
        </is>
      </c>
      <c r="G102" s="49" t="inlineStr">
        <is>
          <t>DC recipient exception - pre-arranged booking, excluded from avg delivery days</t>
        </is>
      </c>
    </row>
    <row r="103" ht="15" customHeight="1" s="50">
      <c r="A103" s="77" t="n">
        <v>46267</v>
      </c>
      <c r="B103" s="49" t="inlineStr">
        <is>
          <t>Oricom</t>
        </is>
      </c>
      <c r="C103" s="49" t="inlineStr">
        <is>
          <t>4522061761</t>
        </is>
      </c>
      <c r="D103" s="49" t="inlineStr">
        <is>
          <t>2026-08</t>
        </is>
      </c>
      <c r="E103" s="49" t="inlineStr">
        <is>
          <t>Freight DIFOT</t>
        </is>
      </c>
      <c r="F103" s="49" t="inlineStr">
        <is>
          <t>Count as met</t>
        </is>
      </c>
      <c r="G103" s="49" t="inlineStr">
        <is>
          <t>DC recipient exception - pre-arranged booking, excluded from avg delivery days</t>
        </is>
      </c>
    </row>
    <row r="104" ht="15" customHeight="1" s="50">
      <c r="A104" s="77" t="n">
        <v>46267</v>
      </c>
      <c r="B104" s="49" t="inlineStr">
        <is>
          <t>Oricom</t>
        </is>
      </c>
      <c r="C104" s="49" t="inlineStr">
        <is>
          <t>4707032853</t>
        </is>
      </c>
      <c r="D104" s="49" t="inlineStr">
        <is>
          <t>2026-08</t>
        </is>
      </c>
      <c r="E104" s="49" t="inlineStr">
        <is>
          <t>Freight DIFOT</t>
        </is>
      </c>
      <c r="F104" s="49" t="inlineStr">
        <is>
          <t>Count as met</t>
        </is>
      </c>
      <c r="G104" s="49" t="inlineStr">
        <is>
          <t>DC recipient exception - pre-arranged booking, excluded from avg delivery days</t>
        </is>
      </c>
    </row>
    <row r="105" ht="15" customHeight="1" s="50">
      <c r="A105" s="77" t="n">
        <v>46267</v>
      </c>
      <c r="B105" s="49" t="inlineStr">
        <is>
          <t>Oricom</t>
        </is>
      </c>
      <c r="C105" s="49" t="inlineStr">
        <is>
          <t>4707023244</t>
        </is>
      </c>
      <c r="D105" s="49" t="inlineStr">
        <is>
          <t>2026-08</t>
        </is>
      </c>
      <c r="E105" s="49" t="inlineStr">
        <is>
          <t>Freight DIFOT</t>
        </is>
      </c>
      <c r="F105" s="49" t="inlineStr">
        <is>
          <t>Count as met</t>
        </is>
      </c>
      <c r="G105" s="49" t="inlineStr">
        <is>
          <t>DC recipient exception - pre-arranged booking, excluded from avg delivery days</t>
        </is>
      </c>
    </row>
    <row r="106" ht="15" customHeight="1" s="50">
      <c r="A106" s="77" t="n">
        <v>46267</v>
      </c>
      <c r="B106" s="49" t="inlineStr">
        <is>
          <t>Oricom</t>
        </is>
      </c>
      <c r="C106" s="49" t="inlineStr">
        <is>
          <t>4706996957</t>
        </is>
      </c>
      <c r="D106" s="49" t="inlineStr">
        <is>
          <t>2026-08</t>
        </is>
      </c>
      <c r="E106" s="49" t="inlineStr">
        <is>
          <t>Freight DIFOT</t>
        </is>
      </c>
      <c r="F106" s="49" t="inlineStr">
        <is>
          <t>Count as met</t>
        </is>
      </c>
      <c r="G106" s="49" t="inlineStr">
        <is>
          <t>DC recipient exception - pre-arranged booking, excluded from avg delivery days</t>
        </is>
      </c>
    </row>
    <row r="107" ht="15" customHeight="1" s="50">
      <c r="A107" s="77" t="n">
        <v>46267</v>
      </c>
      <c r="B107" s="49" t="inlineStr">
        <is>
          <t>Oricom</t>
        </is>
      </c>
      <c r="C107" s="49" t="inlineStr">
        <is>
          <t>4522009214</t>
        </is>
      </c>
      <c r="D107" s="49" t="inlineStr">
        <is>
          <t>2026-08</t>
        </is>
      </c>
      <c r="E107" s="49" t="inlineStr">
        <is>
          <t>Freight DIFOT</t>
        </is>
      </c>
      <c r="F107" s="49" t="inlineStr">
        <is>
          <t>Count as met</t>
        </is>
      </c>
      <c r="G107" s="49" t="inlineStr">
        <is>
          <t>DC recipient exception - pre-arranged booking, excluded from avg delivery days</t>
        </is>
      </c>
    </row>
    <row r="108" ht="15" customHeight="1" s="50">
      <c r="A108" s="77" t="n">
        <v>46267</v>
      </c>
      <c r="B108" s="49" t="inlineStr">
        <is>
          <t>Oricom</t>
        </is>
      </c>
      <c r="C108" s="49" t="inlineStr">
        <is>
          <t>4521985307</t>
        </is>
      </c>
      <c r="D108" s="49" t="inlineStr">
        <is>
          <t>2026-08</t>
        </is>
      </c>
      <c r="E108" s="49" t="inlineStr">
        <is>
          <t>Freight DIFOT</t>
        </is>
      </c>
      <c r="F108" s="49" t="inlineStr">
        <is>
          <t>Count as met</t>
        </is>
      </c>
      <c r="G108" s="49" t="inlineStr">
        <is>
          <t>DC recipient exception - pre-arranged booking, excluded from avg delivery days</t>
        </is>
      </c>
    </row>
    <row r="109" ht="15" customHeight="1" s="50">
      <c r="A109" s="77" t="n">
        <v>46267</v>
      </c>
      <c r="B109" s="49" t="inlineStr">
        <is>
          <t>Oricom</t>
        </is>
      </c>
      <c r="C109" s="49" t="inlineStr">
        <is>
          <t>S 076 147049</t>
        </is>
      </c>
      <c r="D109" s="49" t="inlineStr">
        <is>
          <t>2026-08</t>
        </is>
      </c>
      <c r="E109" s="49" t="inlineStr">
        <is>
          <t>Freight DIFOT</t>
        </is>
      </c>
      <c r="F109" s="49" t="inlineStr">
        <is>
          <t>Count as met</t>
        </is>
      </c>
      <c r="G109" s="49" t="inlineStr">
        <is>
          <t>DC recipient exception - pre-arranged booking, excluded from avg delivery days</t>
        </is>
      </c>
    </row>
    <row r="110" ht="15" customHeight="1" s="50">
      <c r="A110" s="77" t="n">
        <v>46267</v>
      </c>
      <c r="B110" s="49" t="inlineStr">
        <is>
          <t>Oricom</t>
        </is>
      </c>
      <c r="C110" s="49" t="inlineStr">
        <is>
          <t>4706974759</t>
        </is>
      </c>
      <c r="D110" s="49" t="inlineStr">
        <is>
          <t>2026-08</t>
        </is>
      </c>
      <c r="E110" s="49" t="inlineStr">
        <is>
          <t>Freight DIFOT</t>
        </is>
      </c>
      <c r="F110" s="49" t="inlineStr">
        <is>
          <t>Count as met</t>
        </is>
      </c>
      <c r="G110" s="49" t="inlineStr">
        <is>
          <t>DC recipient exception - pre-arranged booking, excluded from avg delivery days</t>
        </is>
      </c>
    </row>
    <row r="111" ht="15" customHeight="1" s="50">
      <c r="A111" s="77" t="n">
        <v>46267</v>
      </c>
      <c r="B111" s="49" t="inlineStr">
        <is>
          <t>Samsung Batteries CP</t>
        </is>
      </c>
      <c r="C111" s="49" t="inlineStr">
        <is>
          <t>3638</t>
        </is>
      </c>
      <c r="D111" s="49" t="inlineStr">
        <is>
          <t>2026-08</t>
        </is>
      </c>
      <c r="E111" s="49" t="inlineStr">
        <is>
          <t>Order Cut Off</t>
        </is>
      </c>
      <c r="F111" s="49" t="inlineStr">
        <is>
          <t>Count as met</t>
        </is>
      </c>
      <c r="G111" s="49" t="inlineStr">
        <is>
          <t>Customer delayed their own pickup/collection of the order (customer did not want to collect on the expected day); dispatch held pending customer availability - not a fulfilment-side delay. Counted as met per operations review.</t>
        </is>
      </c>
    </row>
    <row r="112" ht="43.25" customHeight="1" s="50">
      <c r="A112" s="90" t="n">
        <v>46296</v>
      </c>
      <c r="B112" s="49" t="inlineStr">
        <is>
          <t>Salt Shark</t>
        </is>
      </c>
      <c r="C112" s="92" t="inlineStr">
        <is>
          <t>4938</t>
        </is>
      </c>
      <c r="D112" s="92" t="inlineStr">
        <is>
          <t>2026-09</t>
        </is>
      </c>
      <c r="E112" s="49" t="inlineStr">
        <is>
          <t>Order Cut Off</t>
        </is>
      </c>
      <c r="F112" s="49" t="inlineStr">
        <is>
          <t>Count as met</t>
        </is>
      </c>
      <c r="G112" s="49" t="inlineStr">
        <is>
          <t>Order not yet dispatched; confirmed by operations to be completed and dispatched tomorrow (2 Oct 2026) - extension approved, not a genuine cutoff miss.</t>
        </is>
      </c>
    </row>
    <row r="113">
      <c r="A113" s="90" t="n">
        <v>46296</v>
      </c>
      <c r="B113" s="49" t="inlineStr">
        <is>
          <t>Salt Shark</t>
        </is>
      </c>
      <c r="C113" s="92" t="inlineStr">
        <is>
          <t>4953</t>
        </is>
      </c>
      <c r="D113" s="92" t="inlineStr">
        <is>
          <t>2026-09</t>
        </is>
      </c>
      <c r="E113" s="49" t="inlineStr">
        <is>
          <t>Order Cut Off</t>
        </is>
      </c>
      <c r="F113" s="49" t="inlineStr">
        <is>
          <t>Count as met</t>
        </is>
      </c>
      <c r="G113" s="49" t="inlineStr">
        <is>
          <t>Order not yet dispatched; confirmed by operations to be completed and dispatched tomorrow (2 Oct 2026) - extension approved, not a genuine cutoff miss.</t>
        </is>
      </c>
    </row>
    <row r="114" ht="15" customHeight="1" s="50">
      <c r="A114" s="90" t="n">
        <v>46296</v>
      </c>
      <c r="B114" s="49" t="inlineStr">
        <is>
          <t>Flo &amp; Frankie</t>
        </is>
      </c>
      <c r="C114" s="92" t="inlineStr">
        <is>
          <t>*</t>
        </is>
      </c>
      <c r="D114" s="92" t="n"/>
      <c r="E114" s="49" t="inlineStr">
        <is>
          <t>Order Cut Off</t>
        </is>
      </c>
      <c r="F114" s="49" t="inlineStr">
        <is>
          <t>Count as met</t>
        </is>
      </c>
      <c r="G114" s="49" t="inlineStr">
        <is>
          <t>Customer agreement: Flo &amp; Frankie Order Cut Off orders count as met going forward, per agreement with the customer.</t>
        </is>
      </c>
    </row>
    <row r="115" ht="15" customHeight="1" s="50">
      <c r="A115" s="90" t="n">
        <v>46303</v>
      </c>
      <c r="B115" s="49" t="inlineStr">
        <is>
          <t>Oricom</t>
        </is>
      </c>
      <c r="C115" s="49" t="inlineStr">
        <is>
          <t>HL085007</t>
        </is>
      </c>
      <c r="D115" s="49" t="inlineStr">
        <is>
          <t>2026-09</t>
        </is>
      </c>
      <c r="E115" s="49" t="inlineStr">
        <is>
          <t>Freight DIFOT</t>
        </is>
      </c>
      <c r="F115" s="49" t="inlineStr">
        <is>
          <t>Count as met</t>
        </is>
      </c>
      <c r="G115" s="49" t="inlineStr">
        <is>
          <t>DC recipient exception - pre-arranged booking, excluded from avg delivery days</t>
        </is>
      </c>
    </row>
    <row r="116" ht="15" customHeight="1" s="50">
      <c r="A116" s="90" t="n">
        <v>46303</v>
      </c>
      <c r="B116" s="49" t="inlineStr">
        <is>
          <t>Oricom</t>
        </is>
      </c>
      <c r="C116" s="49" t="inlineStr">
        <is>
          <t>4522201808</t>
        </is>
      </c>
      <c r="D116" s="49" t="inlineStr">
        <is>
          <t>2026-09</t>
        </is>
      </c>
      <c r="E116" s="49" t="inlineStr">
        <is>
          <t>Freight DIFOT</t>
        </is>
      </c>
      <c r="F116" s="49" t="inlineStr">
        <is>
          <t>Count as met</t>
        </is>
      </c>
      <c r="G116" s="49" t="inlineStr">
        <is>
          <t>DC recipient exception - pre-arranged booking, excluded from avg delivery days</t>
        </is>
      </c>
    </row>
    <row r="117" ht="15" customHeight="1" s="50">
      <c r="A117" s="90" t="n">
        <v>46303</v>
      </c>
      <c r="B117" s="49" t="inlineStr">
        <is>
          <t>Oricom</t>
        </is>
      </c>
      <c r="C117" s="49" t="inlineStr">
        <is>
          <t>4522172931</t>
        </is>
      </c>
      <c r="D117" s="49" t="inlineStr">
        <is>
          <t>2026-09</t>
        </is>
      </c>
      <c r="E117" s="49" t="inlineStr">
        <is>
          <t>Freight DIFOT</t>
        </is>
      </c>
      <c r="F117" s="49" t="inlineStr">
        <is>
          <t>Count as met</t>
        </is>
      </c>
      <c r="G117" s="49" t="inlineStr">
        <is>
          <t>DC recipient exception - pre-arranged booking, excluded from avg delivery days</t>
        </is>
      </c>
    </row>
    <row r="118" ht="15" customHeight="1" s="50">
      <c r="A118" s="90" t="n">
        <v>46303</v>
      </c>
      <c r="B118" s="49" t="inlineStr">
        <is>
          <t>Oricom</t>
        </is>
      </c>
      <c r="C118" s="49" t="inlineStr">
        <is>
          <t>4522133734</t>
        </is>
      </c>
      <c r="D118" s="49" t="inlineStr">
        <is>
          <t>2026-09</t>
        </is>
      </c>
      <c r="E118" s="49" t="inlineStr">
        <is>
          <t>Freight DIFOT</t>
        </is>
      </c>
      <c r="F118" s="49" t="inlineStr">
        <is>
          <t>Count as met</t>
        </is>
      </c>
      <c r="G118" s="49" t="inlineStr">
        <is>
          <t>DC recipient exception - pre-arranged booking, excluded from avg delivery days</t>
        </is>
      </c>
    </row>
    <row r="119" ht="15" customHeight="1" s="50">
      <c r="A119" s="90" t="n">
        <v>46303</v>
      </c>
      <c r="B119" s="49" t="inlineStr">
        <is>
          <t>Oricom</t>
        </is>
      </c>
      <c r="C119" s="49" t="inlineStr">
        <is>
          <t>4522087338</t>
        </is>
      </c>
      <c r="D119" s="49" t="inlineStr">
        <is>
          <t>2026-09</t>
        </is>
      </c>
      <c r="E119" s="49" t="inlineStr">
        <is>
          <t>Freight DIFOT</t>
        </is>
      </c>
      <c r="F119" s="49" t="inlineStr">
        <is>
          <t>Count as met</t>
        </is>
      </c>
      <c r="G119" s="49" t="inlineStr">
        <is>
          <t>DC recipient exception - pre-arranged booking, excluded from avg delivery days</t>
        </is>
      </c>
    </row>
    <row r="120" ht="15" customHeight="1" s="50">
      <c r="A120" s="90" t="n">
        <v>46303</v>
      </c>
      <c r="B120" s="49" t="inlineStr">
        <is>
          <t>Oricom</t>
        </is>
      </c>
      <c r="C120" s="49" t="inlineStr">
        <is>
          <t>4707052687</t>
        </is>
      </c>
      <c r="D120" s="49" t="inlineStr">
        <is>
          <t>2026-09</t>
        </is>
      </c>
      <c r="E120" s="49" t="inlineStr">
        <is>
          <t>Freight DIFOT</t>
        </is>
      </c>
      <c r="F120" s="49" t="inlineStr">
        <is>
          <t>Count as met</t>
        </is>
      </c>
      <c r="G120" s="49" t="inlineStr">
        <is>
          <t>DC recipient exception - pre-arranged booking, excluded from avg delivery days</t>
        </is>
      </c>
    </row>
    <row r="121" ht="15" customHeight="1" s="50">
      <c r="A121" s="84" t="inlineStr">
        <is>
          <t>Action must be either "Exclude from calculation" or "Count as met". KPI should match the KPI name exactly (e.g. "Order Cut Off"). Order Reference must match the customer's order reference number.</t>
        </is>
      </c>
    </row>
    <row r="122" ht="15" customHeight="1" s="50"/>
    <row r="123" ht="15" customHeight="1" s="50">
      <c r="A123" s="81" t="inlineStr">
        <is>
          <t>Order Content-Based Overrides</t>
        </is>
      </c>
    </row>
    <row r="124">
      <c r="A124" s="82" t="inlineStr">
        <is>
          <t>Customer</t>
        </is>
      </c>
    </row>
    <row r="125">
      <c r="A125" s="49" t="inlineStr">
        <is>
          <t>Vixxen</t>
        </is>
      </c>
      <c r="B125" s="49" t="inlineStr">
        <is>
          <t>Delivery Company Name</t>
        </is>
      </c>
      <c r="C125" s="49" t="inlineStr">
        <is>
          <t>farmers</t>
        </is>
      </c>
      <c r="D125" s="49" t="inlineStr">
        <is>
          <t>Next Tuesday (17:00)</t>
        </is>
      </c>
    </row>
    <row r="126" ht="126.85" customHeight="1" s="50">
      <c r="A126" s="49" t="inlineStr">
        <is>
          <t>Simply Clean</t>
        </is>
      </c>
      <c r="B126" s="49" t="inlineStr">
        <is>
          <t>Delivery Company Name</t>
        </is>
      </c>
      <c r="C126" s="49" t="inlineStr">
        <is>
          <t>briscoes</t>
        </is>
      </c>
      <c r="D126" s="49" t="inlineStr">
        <is>
          <t>Next Tuesday (17:00)</t>
        </is>
      </c>
    </row>
    <row r="127">
      <c r="A127" s="49" t="inlineStr">
        <is>
          <t>Vixxen</t>
        </is>
      </c>
      <c r="B127" s="49" t="inlineStr">
        <is>
          <t>Delivery Company Name</t>
        </is>
      </c>
      <c r="C127" s="49" t="inlineStr">
        <is>
          <t>farmers</t>
        </is>
      </c>
      <c r="D127" s="49" t="inlineStr">
        <is>
          <t>Next Monday (20:00)</t>
        </is>
      </c>
      <c r="E127" s="83" t="n">
        <v>46251</v>
      </c>
      <c r="F127" s="83" t="n">
        <v>46254</v>
      </c>
    </row>
    <row r="128">
      <c r="A128" s="49" t="inlineStr">
        <is>
          <t>Gym Equip</t>
        </is>
      </c>
      <c r="B128" s="49" t="inlineStr">
        <is>
          <t>All Orders</t>
        </is>
      </c>
      <c r="C128" s="49" t="inlineStr">
        <is>
          <t>all</t>
        </is>
      </c>
      <c r="D128" s="49" t="inlineStr">
        <is>
          <t>Fixed (2026-09-02 20:00)</t>
        </is>
      </c>
      <c r="E128" s="83" t="n"/>
      <c r="F128" s="83" t="n">
        <v>46266</v>
      </c>
    </row>
    <row r="129" ht="126.85" customHeight="1" s="50">
      <c r="A129" s="49" t="inlineStr">
        <is>
          <t>Simply Clean</t>
        </is>
      </c>
      <c r="B129" s="49" t="inlineStr">
        <is>
          <t>Delivery Company Name</t>
        </is>
      </c>
      <c r="C129" s="49" t="inlineStr">
        <is>
          <t>briscoes group</t>
        </is>
      </c>
      <c r="D129" s="49" t="inlineStr">
        <is>
          <t>Fixed (2026-09-18 20:00)</t>
        </is>
      </c>
      <c r="E129" s="83" t="n">
        <v>46280</v>
      </c>
      <c r="F129" s="83" t="n">
        <v>46280</v>
      </c>
    </row>
    <row r="130" ht="15" customHeight="1" s="50">
      <c r="A130" s="49" t="inlineStr">
        <is>
          <t>Vixxen</t>
        </is>
      </c>
      <c r="B130" s="49" t="inlineStr">
        <is>
          <t>Delivery Company Name</t>
        </is>
      </c>
      <c r="C130" s="49" t="inlineStr">
        <is>
          <t>farmers</t>
        </is>
      </c>
      <c r="D130" s="49" t="inlineStr">
        <is>
          <t>Fixed (2026-10-13 20:00)</t>
        </is>
      </c>
      <c r="E130" s="83" t="n">
        <v>46300</v>
      </c>
      <c r="F130" s="83" t="n">
        <v>46300</v>
      </c>
    </row>
    <row r="131" ht="23.85" customHeight="1" s="50">
      <c r="A131" s="49" t="inlineStr">
        <is>
          <t>Made Group NZ</t>
        </is>
      </c>
      <c r="B131" s="49" t="inlineStr">
        <is>
          <t>All Orders</t>
        </is>
      </c>
      <c r="C131" s="49" t="inlineStr">
        <is>
          <t>all</t>
        </is>
      </c>
      <c r="D131" s="49" t="inlineStr">
        <is>
          <t>Fixed (2026-10-16 13:00)</t>
        </is>
      </c>
      <c r="E131" s="83" t="n">
        <v>46309</v>
      </c>
      <c r="F131" s="83" t="n">
        <v>46309</v>
      </c>
    </row>
    <row r="132" ht="15" customHeight="1" s="50"/>
    <row r="133" ht="15" customHeight="1" s="50"/>
    <row r="134" ht="23.85" customHeight="1" s="50"/>
    <row r="135" ht="15" customHeight="1" s="50">
      <c r="A135" s="84"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6" ht="23.85" customHeight="1" s="50"/>
    <row r="137" ht="23.85" customHeight="1" s="50"/>
    <row r="138">
      <c r="A138" s="85" t="inlineStr">
        <is>
          <t>Table 4: DIFOT Delivery Recipient Exceptions</t>
        </is>
      </c>
    </row>
    <row r="139" ht="99.95" customHeight="1" s="50">
      <c r="A139" s="86" t="inlineStr">
        <is>
          <t>Match Field</t>
        </is>
      </c>
      <c r="F139" s="86" t="inlineStr">
        <is>
          <t>Attribute To</t>
        </is>
      </c>
      <c r="G139" s="86" t="inlineStr">
        <is>
          <t>Reason</t>
        </is>
      </c>
    </row>
    <row r="140" ht="15" customHeight="1" s="50">
      <c r="A140" s="49" t="inlineStr">
        <is>
          <t>ShipTo</t>
        </is>
      </c>
      <c r="B140" s="49" t="inlineStr">
        <is>
          <t>supercheap</t>
        </is>
      </c>
      <c r="C140" s="49" t="inlineStr">
        <is>
          <t>Count as met</t>
        </is>
      </c>
      <c r="F140" s="49" t="inlineStr">
        <is>
          <t>Oricom</t>
        </is>
      </c>
      <c r="G140" s="69" t="inlineStr">
        <is>
          <t>Supercheap Auto/Retail DC orders use separate pre-arranged bookings, not standard carrier tracking</t>
        </is>
      </c>
    </row>
    <row r="141" ht="68.65000000000001" customHeight="1" s="50">
      <c r="A141" s="49" t="inlineStr">
        <is>
          <t>ShipTo</t>
        </is>
      </c>
    </row>
    <row r="142" ht="15" customHeight="1" s="50">
      <c r="A142" s="49" t="inlineStr">
        <is>
          <t>ShipTo</t>
        </is>
      </c>
      <c r="B142" s="49" t="inlineStr">
        <is>
          <t>srg</t>
        </is>
      </c>
      <c r="C142" s="49" t="inlineStr">
        <is>
          <t>Count as met</t>
        </is>
      </c>
      <c r="F142" s="49" t="inlineStr">
        <is>
          <t>Oricom</t>
        </is>
      </c>
      <c r="G142" s="69" t="inlineStr">
        <is>
          <t>SRG (Super Retail Group) DC orders use separate pre-arranged bookings</t>
        </is>
      </c>
    </row>
    <row r="143" ht="15" customHeight="1" s="50">
      <c r="A143" s="49" t="inlineStr">
        <is>
          <t>ShipTo</t>
        </is>
      </c>
      <c r="B143" s="49" t="inlineStr">
        <is>
          <t>repco</t>
        </is>
      </c>
      <c r="C143" s="49" t="inlineStr">
        <is>
          <t>Count as met</t>
        </is>
      </c>
      <c r="F143" s="49" t="inlineStr">
        <is>
          <t>Oricom</t>
        </is>
      </c>
      <c r="G143" s="69" t="inlineStr">
        <is>
          <t>Repco (GPC-owned) orders use separate pre-arranged bookings</t>
        </is>
      </c>
    </row>
    <row r="144" ht="68.65000000000001" customHeight="1" s="50"/>
    <row r="145">
      <c r="A145" s="87"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6" ht="46.25" customHeight="1" s="50"/>
    <row r="147" ht="15" customHeight="1" s="50"/>
    <row r="148" ht="15" customHeight="1" s="50">
      <c r="A148" s="85" t="inlineStr">
        <is>
          <t>Table 5: International Carrier SLAs</t>
        </is>
      </c>
    </row>
    <row r="149" ht="15" customHeight="1" s="50">
      <c r="A149" s="86" t="inlineStr">
        <is>
          <t>Service Code</t>
        </is>
      </c>
      <c r="B149" s="86" t="inlineStr">
        <is>
          <t>Destination</t>
        </is>
      </c>
      <c r="C149" s="86" t="inlineStr">
        <is>
          <t>Business Days</t>
        </is>
      </c>
      <c r="D149" s="86" t="inlineStr">
        <is>
          <t>Source</t>
        </is>
      </c>
      <c r="E149" s="86" t="inlineStr">
        <is>
          <t>Notes</t>
        </is>
      </c>
    </row>
    <row r="150" ht="15" customHeight="1" s="50">
      <c r="A150" s="49" t="inlineStr">
        <is>
          <t>FEDEX_INTERNATIONAL_CONNECT_PLUS</t>
        </is>
      </c>
      <c r="B150" s="49" t="inlineStr">
        <is>
          <t>All international</t>
        </is>
      </c>
      <c r="C150" s="49" t="n">
        <v>3</v>
      </c>
      <c r="D150" s="49" t="inlineStr">
        <is>
          <t>fedex.com/en-nz</t>
        </is>
      </c>
      <c r="E150" s="69" t="inlineStr">
        <is>
          <t>FedEx FICP 'typically 2-3 business days worldwide' - using maximum per FP policy</t>
        </is>
      </c>
    </row>
    <row r="151" ht="15" customHeight="1" s="50"/>
    <row r="152" ht="15" customHeight="1" s="50">
      <c r="A152" s="87" t="inlineStr">
        <is>
          <t>Business Days are calculated from pickup date using add_business_days() (Mon-Fri only). To add a new carrier/destination rule, add a row here and update extract_difot.py INTL_CARRIER_DAYS dict. If a range is published (e.g. 3-5 days), always use the maximum.</t>
        </is>
      </c>
    </row>
    <row r="153" ht="15" customHeight="1" s="50"/>
    <row r="154" ht="15" customHeight="1" s="50"/>
    <row r="155" ht="15" customHeight="1" s="50">
      <c r="A155" s="49" t="inlineStr">
        <is>
          <t>Table 6: Public Holidays</t>
        </is>
      </c>
    </row>
    <row r="156" ht="15" customHeight="1" s="50">
      <c r="A156" s="49" t="inlineStr">
        <is>
          <t>Date</t>
        </is>
      </c>
      <c r="B156" s="49" t="inlineStr">
        <is>
          <t>Notes</t>
        </is>
      </c>
    </row>
    <row r="157" ht="15" customHeight="1" s="50">
      <c r="A157" s="77" t="n">
        <v>46213</v>
      </c>
      <c r="B157" s="49" t="inlineStr">
        <is>
          <t>Wellington Anniversary / regional public holiday — deadlines falling on this day roll to next business day</t>
        </is>
      </c>
    </row>
    <row r="158" ht="15" customHeight="1" s="50">
      <c r="A158" s="83" t="n"/>
    </row>
    <row r="160" ht="15" customHeight="1" s="50">
      <c r="A160" s="49" t="inlineStr">
        <is>
          <t>Add future public holidays here. Deadlines (Order Cut Off, required delivery date) that fall on a listed date will automatically roll forward to the next business day.</t>
        </is>
      </c>
    </row>
    <row r="162">
      <c r="A162" s="49" t="inlineStr">
        <is>
          <t>Table 7: Operational Exceptions (Non-Business Days)</t>
        </is>
      </c>
    </row>
    <row r="163">
      <c r="A163" s="49" t="inlineStr">
        <is>
          <t>Date</t>
        </is>
      </c>
      <c r="B163" s="49" t="inlineStr">
        <is>
          <t>Reason</t>
        </is>
      </c>
    </row>
    <row r="164">
      <c r="A164" s="83" t="n">
        <v>46244</v>
      </c>
      <c r="B164" s="4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6">
      <c r="A166" s="4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49" min="1" max="1"/>
    <col width="26" customWidth="1" style="49" min="2" max="2"/>
    <col width="18" customWidth="1" style="49" min="3" max="3"/>
    <col width="16" customWidth="1" style="49" min="4" max="4"/>
    <col width="60" customWidth="1" style="49" min="5" max="5"/>
  </cols>
  <sheetData>
    <row r="1" ht="17.35" customHeight="1" s="50">
      <c r="A1" s="80" t="inlineStr">
        <is>
          <t>Issue Log</t>
        </is>
      </c>
    </row>
    <row r="2" ht="30" customHeight="1" s="50">
      <c r="A2" s="8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ht="15" customHeight="1" s="50">
      <c r="A4" s="82" t="inlineStr">
        <is>
          <t>Date Logged</t>
        </is>
      </c>
      <c r="B4" s="82" t="inlineStr">
        <is>
          <t>Customer</t>
        </is>
      </c>
      <c r="C4" s="82" t="inlineStr">
        <is>
          <t>Order Reference</t>
        </is>
      </c>
      <c r="D4" s="82" t="inlineStr">
        <is>
          <t>Quantity Wrong</t>
        </is>
      </c>
      <c r="E4" s="82" t="inlineStr">
        <is>
          <t>Issue Details</t>
        </is>
      </c>
    </row>
    <row r="5" ht="15" customHeight="1" s="50">
      <c r="A5" s="83" t="n">
        <v>46245</v>
      </c>
      <c r="B5" s="49" t="inlineStr">
        <is>
          <t>Vixxen</t>
        </is>
      </c>
      <c r="C5" s="49" t="inlineStr">
        <is>
          <t>3165</t>
        </is>
      </c>
      <c r="D5" s="49" t="n">
        <v>1</v>
      </c>
      <c r="E5" s="49" t="inlineStr">
        <is>
          <t>Item 7006718003 Sculpt Bra - Size C ordered, Size B sent instead (wrong size picked)</t>
        </is>
      </c>
    </row>
    <row r="6" ht="15" customHeight="1" s="50">
      <c r="A6" s="83" t="n">
        <v>46248</v>
      </c>
      <c r="B6" s="49" t="inlineStr">
        <is>
          <t>Simply Clean</t>
        </is>
      </c>
      <c r="C6" s="49" t="inlineStr">
        <is>
          <t>11133</t>
        </is>
      </c>
      <c r="D6" s="49" t="n">
        <v>1</v>
      </c>
      <c r="E6" s="49" t="inlineStr">
        <is>
          <t>Item 8289500070129 - ordered 1106073, incorrectly sent JD13 instead (inwards not done correctly)</t>
        </is>
      </c>
    </row>
    <row r="7" ht="15" customHeight="1" s="50">
      <c r="A7" s="83" t="n">
        <v>46248</v>
      </c>
      <c r="B7" s="49" t="inlineStr">
        <is>
          <t>Vixxen</t>
        </is>
      </c>
      <c r="C7" s="49" t="inlineStr">
        <is>
          <t>INV-18027713</t>
        </is>
      </c>
      <c r="D7" s="49" t="n">
        <v>8</v>
      </c>
      <c r="E7" s="49" t="inlineStr">
        <is>
          <t>Sent 2x silicone stick-on bras (D cup, additionals) instead of ordered D-cup wing stick-on bras; also sent 4x disposable nipple covers instead of ordered lacey heart nipple covers, missing 2x lacey heart ones. Total 8 units incorrect.</t>
        </is>
      </c>
    </row>
    <row r="8" ht="15" customHeight="1" s="50">
      <c r="A8" s="83" t="n">
        <v>46248</v>
      </c>
      <c r="B8" s="49" t="inlineStr">
        <is>
          <t>Vixxen</t>
        </is>
      </c>
      <c r="C8" s="49" t="inlineStr">
        <is>
          <t>3205</t>
        </is>
      </c>
      <c r="D8" s="49" t="n">
        <v>1</v>
      </c>
      <c r="E8" s="49" t="inlineStr">
        <is>
          <t>Silicone stick-on bra - Size C ordered, Size D sent instead (wrong size picked)</t>
        </is>
      </c>
    </row>
    <row r="9" ht="15" customHeight="1" s="50">
      <c r="A9" s="83" t="n">
        <v>46248</v>
      </c>
      <c r="B9" s="49" t="inlineStr">
        <is>
          <t>Vixxen</t>
        </is>
      </c>
      <c r="C9" s="49" t="inlineStr">
        <is>
          <t>3206</t>
        </is>
      </c>
      <c r="D9" s="49" t="n">
        <v>1</v>
      </c>
      <c r="E9" s="49" t="inlineStr">
        <is>
          <t>Silicone stick-on bra - Size A ordered, Size C sent instead (wrong size picked)</t>
        </is>
      </c>
    </row>
    <row r="10" ht="15" customHeight="1" s="50">
      <c r="A10" s="83" t="n">
        <v>46287</v>
      </c>
      <c r="B10" s="49" t="inlineStr">
        <is>
          <t>Vixxen</t>
        </is>
      </c>
      <c r="C10" s="49" t="inlineStr">
        <is>
          <t>3331</t>
        </is>
      </c>
      <c r="D10" s="49" t="n">
        <v>1</v>
      </c>
      <c r="E10" s="49" t="inlineStr">
        <is>
          <t>Missing item - 1x unit of V1561BL2 not sent</t>
        </is>
      </c>
    </row>
    <row r="11" ht="15" customHeight="1" s="50">
      <c r="A11" s="83" t="n">
        <v>46292</v>
      </c>
      <c r="B11" s="49" t="inlineStr">
        <is>
          <t>Vixxen</t>
        </is>
      </c>
      <c r="C11" s="49" t="inlineStr">
        <is>
          <t>3353</t>
        </is>
      </c>
      <c r="D11" s="49" t="n">
        <v>4</v>
      </c>
      <c r="E11" s="49" t="inlineStr">
        <is>
          <t>Wrong product picked - 4x Bamboo Laced sent instead of Scalloped</t>
        </is>
      </c>
    </row>
    <row r="12">
      <c r="A12" s="91" t="n">
        <v>46295</v>
      </c>
      <c r="B12" s="49" t="inlineStr">
        <is>
          <t>Vixxen</t>
        </is>
      </c>
      <c r="C12" s="49" t="inlineStr">
        <is>
          <t>3380</t>
        </is>
      </c>
      <c r="D12" s="49" t="n">
        <v>7</v>
      </c>
      <c r="E12" s="49" t="inlineStr">
        <is>
          <t>Cross-labelled shipping labels - items picked accurately but shipped to wrong destination due to label mix-up</t>
        </is>
      </c>
    </row>
    <row r="13">
      <c r="A13" s="91" t="n">
        <v>46295</v>
      </c>
      <c r="B13" s="49" t="inlineStr">
        <is>
          <t>Vixxen</t>
        </is>
      </c>
      <c r="C13" s="49" t="inlineStr">
        <is>
          <t>3378</t>
        </is>
      </c>
      <c r="D13" s="49" t="n">
        <v>7</v>
      </c>
      <c r="E13" s="49" t="inlineStr">
        <is>
          <t>Cross-labelled shipping labels - items picked accurately but shipped to wrong destination due to label mix-up</t>
        </is>
      </c>
    </row>
  </sheetData>
  <mergeCells count="1">
    <mergeCell ref="A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49" min="1" max="29"/>
  </cols>
  <sheetData>
    <row r="1" ht="15" customHeight="1" s="50">
      <c r="A1" s="49" t="inlineStr">
        <is>
          <t>Selected Customer</t>
        </is>
      </c>
      <c r="B1" s="49">
        <f>Dashboard!C4</f>
        <v/>
      </c>
    </row>
    <row r="2" ht="15" customHeight="1" s="50">
      <c r="A2" s="49" t="inlineStr">
        <is>
          <t>Latest Month</t>
        </is>
      </c>
      <c r="B2" s="75">
        <f>MAX(KPI_Data!A4:A295)</f>
        <v/>
      </c>
    </row>
    <row r="4" ht="26.25" customHeight="1" s="50">
      <c r="A4" s="89" t="inlineStr">
        <is>
          <t>Month</t>
        </is>
      </c>
      <c r="B4" s="89" t="inlineStr">
        <is>
          <t>Target</t>
        </is>
      </c>
      <c r="C4" s="89" t="inlineStr">
        <is>
          <t>Numerator</t>
        </is>
      </c>
      <c r="D4" s="89" t="inlineStr">
        <is>
          <t>Denominator</t>
        </is>
      </c>
      <c r="E4" s="89" t="inlineStr">
        <is>
          <t>Actual %</t>
        </is>
      </c>
      <c r="G4" s="89" t="inlineStr">
        <is>
          <t>Month</t>
        </is>
      </c>
      <c r="H4" s="89" t="inlineStr">
        <is>
          <t>Target</t>
        </is>
      </c>
      <c r="I4" s="89" t="inlineStr">
        <is>
          <t>Numerator</t>
        </is>
      </c>
      <c r="J4" s="89" t="inlineStr">
        <is>
          <t>Denominator</t>
        </is>
      </c>
      <c r="K4" s="89" t="inlineStr">
        <is>
          <t>Actual %</t>
        </is>
      </c>
      <c r="M4" s="89" t="inlineStr">
        <is>
          <t>Month</t>
        </is>
      </c>
      <c r="N4" s="89" t="inlineStr">
        <is>
          <t>Target</t>
        </is>
      </c>
      <c r="O4" s="89" t="inlineStr">
        <is>
          <t>Numerator</t>
        </is>
      </c>
      <c r="P4" s="89" t="inlineStr">
        <is>
          <t>Denominator</t>
        </is>
      </c>
      <c r="Q4" s="89" t="inlineStr">
        <is>
          <t>Actual %</t>
        </is>
      </c>
      <c r="S4" s="89" t="inlineStr">
        <is>
          <t>Month</t>
        </is>
      </c>
      <c r="T4" s="89" t="inlineStr">
        <is>
          <t>Target</t>
        </is>
      </c>
      <c r="U4" s="89" t="inlineStr">
        <is>
          <t>Numerator</t>
        </is>
      </c>
      <c r="V4" s="89" t="inlineStr">
        <is>
          <t>Denominator</t>
        </is>
      </c>
      <c r="W4" s="89" t="inlineStr">
        <is>
          <t>Actual %</t>
        </is>
      </c>
      <c r="Y4" s="89" t="inlineStr">
        <is>
          <t>Month</t>
        </is>
      </c>
      <c r="Z4" s="89" t="inlineStr">
        <is>
          <t>Target</t>
        </is>
      </c>
      <c r="AA4" s="89" t="inlineStr">
        <is>
          <t>Numerator</t>
        </is>
      </c>
      <c r="AB4" s="89" t="inlineStr">
        <is>
          <t>Denominator</t>
        </is>
      </c>
      <c r="AC4" s="89" t="inlineStr">
        <is>
          <t>Actual %</t>
        </is>
      </c>
    </row>
    <row r="5" ht="15" customHeight="1" s="50">
      <c r="A5" s="75">
        <f>EDATE($B$2,-11)</f>
        <v/>
      </c>
      <c r="B5" s="76">
        <f>INDEX('KPI Schedule'!$B$5:$B$10,MATCH("Dock to Stock",'KPI Schedule'!$A$5:$A$10,0))</f>
        <v/>
      </c>
      <c r="C5" s="49">
        <f>SUMIFS(KPI_Data!$F$4:$F$295,KPI_Data!$B$4:$B$295,$B$1,KPI_Data!$C$4:$C$295,"Dock to Stock",KPI_Data!$A$4:$A$295,A5)</f>
        <v/>
      </c>
      <c r="D5" s="49">
        <f>SUMIFS(KPI_Data!$G$4:$G$295,KPI_Data!$B$4:$B$295,$B$1,KPI_Data!$C$4:$C$295,"Dock to Stock",KPI_Data!$A$4:$A$295,A5)</f>
        <v/>
      </c>
      <c r="E5" s="76">
        <f>IFERROR(C5/D5,"")</f>
        <v/>
      </c>
      <c r="G5" s="75">
        <f>EDATE($B$2,-11)</f>
        <v/>
      </c>
      <c r="H5" s="76">
        <f>INDEX('KPI Schedule'!$B$5:$B$10,MATCH("Cycle Count",'KPI Schedule'!$A$5:$A$10,0))</f>
        <v/>
      </c>
      <c r="I5" s="49">
        <f>SUMIFS(KPI_Data!$F$4:$F$295,KPI_Data!$B$4:$B$295,$B$1,KPI_Data!$C$4:$C$295,"Cycle Count",KPI_Data!$A$4:$A$295,G5)</f>
        <v/>
      </c>
      <c r="J5" s="49">
        <f>SUMIFS(KPI_Data!$G$4:$G$295,KPI_Data!$B$4:$B$295,$B$1,KPI_Data!$C$4:$C$295,"Cycle Count",KPI_Data!$A$4:$A$295,G5)</f>
        <v/>
      </c>
      <c r="K5" s="76">
        <f>IFERROR(I5/J5,"")</f>
        <v/>
      </c>
      <c r="M5" s="75">
        <f>EDATE($B$2,-11)</f>
        <v/>
      </c>
      <c r="N5" s="76">
        <f>INDEX('KPI Schedule'!$B$5:$B$10,MATCH("Order Cut Off",'KPI Schedule'!$A$5:$A$10,0))</f>
        <v/>
      </c>
      <c r="O5" s="49">
        <f>SUMIFS(KPI_Data!$F$4:$F$295,KPI_Data!$B$4:$B$295,$B$1,KPI_Data!$C$4:$C$295,"Order Cut Off",KPI_Data!$A$4:$A$295,M5)</f>
        <v/>
      </c>
      <c r="P5" s="49">
        <f>SUMIFS(KPI_Data!$G$4:$G$295,KPI_Data!$B$4:$B$295,$B$1,KPI_Data!$C$4:$C$295,"Order Cut Off",KPI_Data!$A$4:$A$295,M5)</f>
        <v/>
      </c>
      <c r="Q5" s="76">
        <f>IFERROR(O5/P5,"")</f>
        <v/>
      </c>
      <c r="S5" s="75">
        <f>EDATE($B$2,-11)</f>
        <v/>
      </c>
      <c r="T5" s="76">
        <f>INDEX('KPI Schedule'!$B$5:$B$10,MATCH("Order Accuracy by Unit",'KPI Schedule'!$A$5:$A$10,0))</f>
        <v/>
      </c>
      <c r="U5" s="49">
        <f>SUMIFS(KPI_Data!$F$4:$F$295,KPI_Data!$B$4:$B$295,$B$1,KPI_Data!$C$4:$C$295,"Order Accuracy by Unit",KPI_Data!$A$4:$A$295,S5)</f>
        <v/>
      </c>
      <c r="V5" s="49">
        <f>SUMIFS(KPI_Data!$G$4:$G$295,KPI_Data!$B$4:$B$295,$B$1,KPI_Data!$C$4:$C$295,"Order Accuracy by Unit",KPI_Data!$A$4:$A$295,S5)</f>
        <v/>
      </c>
      <c r="W5" s="76">
        <f>IFERROR(U5/V5,"")</f>
        <v/>
      </c>
      <c r="Y5" s="75">
        <f>EDATE($B$2,-11)</f>
        <v/>
      </c>
      <c r="Z5" s="76">
        <f>INDEX('KPI Schedule'!$B$5:$B$10,MATCH("Freight DIFOT",'KPI Schedule'!$A$5:$A$10,0))</f>
        <v/>
      </c>
      <c r="AA5" s="49">
        <f>SUMIFS(KPI_Data!$F$4:$F$295,KPI_Data!$B$4:$B$295,$B$1,KPI_Data!$C$4:$C$295,"Freight DIFOT",KPI_Data!$A$4:$A$295,Y5)</f>
        <v/>
      </c>
      <c r="AB5" s="49">
        <f>SUMIFS(KPI_Data!$G$4:$G$295,KPI_Data!$B$4:$B$295,$B$1,KPI_Data!$C$4:$C$295,"Freight DIFOT",KPI_Data!$A$4:$A$295,Y5)</f>
        <v/>
      </c>
      <c r="AC5" s="76">
        <f>IFERROR(AA5/AB5,"")</f>
        <v/>
      </c>
    </row>
    <row r="6" ht="15" customHeight="1" s="50">
      <c r="A6" s="75">
        <f>EDATE(A5,1)</f>
        <v/>
      </c>
      <c r="B6" s="76">
        <f>INDEX('KPI Schedule'!$B$5:$B$10,MATCH("Dock to Stock",'KPI Schedule'!$A$5:$A$10,0))</f>
        <v/>
      </c>
      <c r="C6" s="49">
        <f>SUMIFS(KPI_Data!$F$4:$F$295,KPI_Data!$B$4:$B$295,$B$1,KPI_Data!$C$4:$C$295,"Dock to Stock",KPI_Data!$A$4:$A$295,A6)</f>
        <v/>
      </c>
      <c r="D6" s="49">
        <f>SUMIFS(KPI_Data!$G$4:$G$295,KPI_Data!$B$4:$B$295,$B$1,KPI_Data!$C$4:$C$295,"Dock to Stock",KPI_Data!$A$4:$A$295,A6)</f>
        <v/>
      </c>
      <c r="E6" s="76">
        <f>IFERROR(C6/D6,"")</f>
        <v/>
      </c>
      <c r="G6" s="75">
        <f>EDATE(G5,1)</f>
        <v/>
      </c>
      <c r="H6" s="76">
        <f>INDEX('KPI Schedule'!$B$5:$B$10,MATCH("Cycle Count",'KPI Schedule'!$A$5:$A$10,0))</f>
        <v/>
      </c>
      <c r="I6" s="49">
        <f>SUMIFS(KPI_Data!$F$4:$F$295,KPI_Data!$B$4:$B$295,$B$1,KPI_Data!$C$4:$C$295,"Cycle Count",KPI_Data!$A$4:$A$295,G6)</f>
        <v/>
      </c>
      <c r="J6" s="49">
        <f>SUMIFS(KPI_Data!$G$4:$G$295,KPI_Data!$B$4:$B$295,$B$1,KPI_Data!$C$4:$C$295,"Cycle Count",KPI_Data!$A$4:$A$295,G6)</f>
        <v/>
      </c>
      <c r="K6" s="76">
        <f>IFERROR(I6/J6,"")</f>
        <v/>
      </c>
      <c r="M6" s="75">
        <f>EDATE(M5,1)</f>
        <v/>
      </c>
      <c r="N6" s="76">
        <f>INDEX('KPI Schedule'!$B$5:$B$10,MATCH("Order Cut Off",'KPI Schedule'!$A$5:$A$10,0))</f>
        <v/>
      </c>
      <c r="O6" s="49">
        <f>SUMIFS(KPI_Data!$F$4:$F$295,KPI_Data!$B$4:$B$295,$B$1,KPI_Data!$C$4:$C$295,"Order Cut Off",KPI_Data!$A$4:$A$295,M6)</f>
        <v/>
      </c>
      <c r="P6" s="49">
        <f>SUMIFS(KPI_Data!$G$4:$G$295,KPI_Data!$B$4:$B$295,$B$1,KPI_Data!$C$4:$C$295,"Order Cut Off",KPI_Data!$A$4:$A$295,M6)</f>
        <v/>
      </c>
      <c r="Q6" s="76">
        <f>IFERROR(O6/P6,"")</f>
        <v/>
      </c>
      <c r="S6" s="75">
        <f>EDATE(S5,1)</f>
        <v/>
      </c>
      <c r="T6" s="76">
        <f>INDEX('KPI Schedule'!$B$5:$B$10,MATCH("Order Accuracy by Unit",'KPI Schedule'!$A$5:$A$10,0))</f>
        <v/>
      </c>
      <c r="U6" s="49">
        <f>SUMIFS(KPI_Data!$F$4:$F$295,KPI_Data!$B$4:$B$295,$B$1,KPI_Data!$C$4:$C$295,"Order Accuracy by Unit",KPI_Data!$A$4:$A$295,S6)</f>
        <v/>
      </c>
      <c r="V6" s="49">
        <f>SUMIFS(KPI_Data!$G$4:$G$295,KPI_Data!$B$4:$B$295,$B$1,KPI_Data!$C$4:$C$295,"Order Accuracy by Unit",KPI_Data!$A$4:$A$295,S6)</f>
        <v/>
      </c>
      <c r="W6" s="76">
        <f>IFERROR(U6/V6,"")</f>
        <v/>
      </c>
      <c r="Y6" s="75">
        <f>EDATE(Y5,1)</f>
        <v/>
      </c>
      <c r="Z6" s="76">
        <f>INDEX('KPI Schedule'!$B$5:$B$10,MATCH("Freight DIFOT",'KPI Schedule'!$A$5:$A$10,0))</f>
        <v/>
      </c>
      <c r="AA6" s="49">
        <f>SUMIFS(KPI_Data!$F$4:$F$295,KPI_Data!$B$4:$B$295,$B$1,KPI_Data!$C$4:$C$295,"Freight DIFOT",KPI_Data!$A$4:$A$295,Y6)</f>
        <v/>
      </c>
      <c r="AB6" s="49">
        <f>SUMIFS(KPI_Data!$G$4:$G$295,KPI_Data!$B$4:$B$295,$B$1,KPI_Data!$C$4:$C$295,"Freight DIFOT",KPI_Data!$A$4:$A$295,Y6)</f>
        <v/>
      </c>
      <c r="AC6" s="76">
        <f>IFERROR(AA6/AB6,"")</f>
        <v/>
      </c>
    </row>
    <row r="7" ht="15" customHeight="1" s="50">
      <c r="A7" s="75">
        <f>EDATE(A6,1)</f>
        <v/>
      </c>
      <c r="B7" s="76">
        <f>INDEX('KPI Schedule'!$B$5:$B$10,MATCH("Dock to Stock",'KPI Schedule'!$A$5:$A$10,0))</f>
        <v/>
      </c>
      <c r="C7" s="49">
        <f>SUMIFS(KPI_Data!$F$4:$F$295,KPI_Data!$B$4:$B$295,$B$1,KPI_Data!$C$4:$C$295,"Dock to Stock",KPI_Data!$A$4:$A$295,A7)</f>
        <v/>
      </c>
      <c r="D7" s="49">
        <f>SUMIFS(KPI_Data!$G$4:$G$295,KPI_Data!$B$4:$B$295,$B$1,KPI_Data!$C$4:$C$295,"Dock to Stock",KPI_Data!$A$4:$A$295,A7)</f>
        <v/>
      </c>
      <c r="E7" s="76">
        <f>IFERROR(C7/D7,"")</f>
        <v/>
      </c>
      <c r="G7" s="75">
        <f>EDATE(G6,1)</f>
        <v/>
      </c>
      <c r="H7" s="76">
        <f>INDEX('KPI Schedule'!$B$5:$B$10,MATCH("Cycle Count",'KPI Schedule'!$A$5:$A$10,0))</f>
        <v/>
      </c>
      <c r="I7" s="49">
        <f>SUMIFS(KPI_Data!$F$4:$F$295,KPI_Data!$B$4:$B$295,$B$1,KPI_Data!$C$4:$C$295,"Cycle Count",KPI_Data!$A$4:$A$295,G7)</f>
        <v/>
      </c>
      <c r="J7" s="49">
        <f>SUMIFS(KPI_Data!$G$4:$G$295,KPI_Data!$B$4:$B$295,$B$1,KPI_Data!$C$4:$C$295,"Cycle Count",KPI_Data!$A$4:$A$295,G7)</f>
        <v/>
      </c>
      <c r="K7" s="76">
        <f>IFERROR(I7/J7,"")</f>
        <v/>
      </c>
      <c r="M7" s="75">
        <f>EDATE(M6,1)</f>
        <v/>
      </c>
      <c r="N7" s="76">
        <f>INDEX('KPI Schedule'!$B$5:$B$10,MATCH("Order Cut Off",'KPI Schedule'!$A$5:$A$10,0))</f>
        <v/>
      </c>
      <c r="O7" s="49">
        <f>SUMIFS(KPI_Data!$F$4:$F$295,KPI_Data!$B$4:$B$295,$B$1,KPI_Data!$C$4:$C$295,"Order Cut Off",KPI_Data!$A$4:$A$295,M7)</f>
        <v/>
      </c>
      <c r="P7" s="49">
        <f>SUMIFS(KPI_Data!$G$4:$G$295,KPI_Data!$B$4:$B$295,$B$1,KPI_Data!$C$4:$C$295,"Order Cut Off",KPI_Data!$A$4:$A$295,M7)</f>
        <v/>
      </c>
      <c r="Q7" s="76">
        <f>IFERROR(O7/P7,"")</f>
        <v/>
      </c>
      <c r="S7" s="75">
        <f>EDATE(S6,1)</f>
        <v/>
      </c>
      <c r="T7" s="76">
        <f>INDEX('KPI Schedule'!$B$5:$B$10,MATCH("Order Accuracy by Unit",'KPI Schedule'!$A$5:$A$10,0))</f>
        <v/>
      </c>
      <c r="U7" s="49">
        <f>SUMIFS(KPI_Data!$F$4:$F$295,KPI_Data!$B$4:$B$295,$B$1,KPI_Data!$C$4:$C$295,"Order Accuracy by Unit",KPI_Data!$A$4:$A$295,S7)</f>
        <v/>
      </c>
      <c r="V7" s="49">
        <f>SUMIFS(KPI_Data!$G$4:$G$295,KPI_Data!$B$4:$B$295,$B$1,KPI_Data!$C$4:$C$295,"Order Accuracy by Unit",KPI_Data!$A$4:$A$295,S7)</f>
        <v/>
      </c>
      <c r="W7" s="76">
        <f>IFERROR(U7/V7,"")</f>
        <v/>
      </c>
      <c r="Y7" s="75">
        <f>EDATE(Y6,1)</f>
        <v/>
      </c>
      <c r="Z7" s="76">
        <f>INDEX('KPI Schedule'!$B$5:$B$10,MATCH("Freight DIFOT",'KPI Schedule'!$A$5:$A$10,0))</f>
        <v/>
      </c>
      <c r="AA7" s="49">
        <f>SUMIFS(KPI_Data!$F$4:$F$295,KPI_Data!$B$4:$B$295,$B$1,KPI_Data!$C$4:$C$295,"Freight DIFOT",KPI_Data!$A$4:$A$295,Y7)</f>
        <v/>
      </c>
      <c r="AB7" s="49">
        <f>SUMIFS(KPI_Data!$G$4:$G$295,KPI_Data!$B$4:$B$295,$B$1,KPI_Data!$C$4:$C$295,"Freight DIFOT",KPI_Data!$A$4:$A$295,Y7)</f>
        <v/>
      </c>
      <c r="AC7" s="76">
        <f>IFERROR(AA7/AB7,"")</f>
        <v/>
      </c>
    </row>
    <row r="8" ht="15" customHeight="1" s="50">
      <c r="A8" s="75">
        <f>EDATE(A7,1)</f>
        <v/>
      </c>
      <c r="B8" s="76">
        <f>INDEX('KPI Schedule'!$B$5:$B$10,MATCH("Dock to Stock",'KPI Schedule'!$A$5:$A$10,0))</f>
        <v/>
      </c>
      <c r="C8" s="49">
        <f>SUMIFS(KPI_Data!$F$4:$F$295,KPI_Data!$B$4:$B$295,$B$1,KPI_Data!$C$4:$C$295,"Dock to Stock",KPI_Data!$A$4:$A$295,A8)</f>
        <v/>
      </c>
      <c r="D8" s="49">
        <f>SUMIFS(KPI_Data!$G$4:$G$295,KPI_Data!$B$4:$B$295,$B$1,KPI_Data!$C$4:$C$295,"Dock to Stock",KPI_Data!$A$4:$A$295,A8)</f>
        <v/>
      </c>
      <c r="E8" s="76">
        <f>IFERROR(C8/D8,"")</f>
        <v/>
      </c>
      <c r="G8" s="75">
        <f>EDATE(G7,1)</f>
        <v/>
      </c>
      <c r="H8" s="76">
        <f>INDEX('KPI Schedule'!$B$5:$B$10,MATCH("Cycle Count",'KPI Schedule'!$A$5:$A$10,0))</f>
        <v/>
      </c>
      <c r="I8" s="49">
        <f>SUMIFS(KPI_Data!$F$4:$F$295,KPI_Data!$B$4:$B$295,$B$1,KPI_Data!$C$4:$C$295,"Cycle Count",KPI_Data!$A$4:$A$295,G8)</f>
        <v/>
      </c>
      <c r="J8" s="49">
        <f>SUMIFS(KPI_Data!$G$4:$G$295,KPI_Data!$B$4:$B$295,$B$1,KPI_Data!$C$4:$C$295,"Cycle Count",KPI_Data!$A$4:$A$295,G8)</f>
        <v/>
      </c>
      <c r="K8" s="76">
        <f>IFERROR(I8/J8,"")</f>
        <v/>
      </c>
      <c r="M8" s="75">
        <f>EDATE(M7,1)</f>
        <v/>
      </c>
      <c r="N8" s="76">
        <f>INDEX('KPI Schedule'!$B$5:$B$10,MATCH("Order Cut Off",'KPI Schedule'!$A$5:$A$10,0))</f>
        <v/>
      </c>
      <c r="O8" s="49">
        <f>SUMIFS(KPI_Data!$F$4:$F$295,KPI_Data!$B$4:$B$295,$B$1,KPI_Data!$C$4:$C$295,"Order Cut Off",KPI_Data!$A$4:$A$295,M8)</f>
        <v/>
      </c>
      <c r="P8" s="49">
        <f>SUMIFS(KPI_Data!$G$4:$G$295,KPI_Data!$B$4:$B$295,$B$1,KPI_Data!$C$4:$C$295,"Order Cut Off",KPI_Data!$A$4:$A$295,M8)</f>
        <v/>
      </c>
      <c r="Q8" s="76">
        <f>IFERROR(O8/P8,"")</f>
        <v/>
      </c>
      <c r="S8" s="75">
        <f>EDATE(S7,1)</f>
        <v/>
      </c>
      <c r="T8" s="76">
        <f>INDEX('KPI Schedule'!$B$5:$B$10,MATCH("Order Accuracy by Unit",'KPI Schedule'!$A$5:$A$10,0))</f>
        <v/>
      </c>
      <c r="U8" s="49">
        <f>SUMIFS(KPI_Data!$F$4:$F$295,KPI_Data!$B$4:$B$295,$B$1,KPI_Data!$C$4:$C$295,"Order Accuracy by Unit",KPI_Data!$A$4:$A$295,S8)</f>
        <v/>
      </c>
      <c r="V8" s="49">
        <f>SUMIFS(KPI_Data!$G$4:$G$295,KPI_Data!$B$4:$B$295,$B$1,KPI_Data!$C$4:$C$295,"Order Accuracy by Unit",KPI_Data!$A$4:$A$295,S8)</f>
        <v/>
      </c>
      <c r="W8" s="76">
        <f>IFERROR(U8/V8,"")</f>
        <v/>
      </c>
      <c r="Y8" s="75">
        <f>EDATE(Y7,1)</f>
        <v/>
      </c>
      <c r="Z8" s="76">
        <f>INDEX('KPI Schedule'!$B$5:$B$10,MATCH("Freight DIFOT",'KPI Schedule'!$A$5:$A$10,0))</f>
        <v/>
      </c>
      <c r="AA8" s="49">
        <f>SUMIFS(KPI_Data!$F$4:$F$295,KPI_Data!$B$4:$B$295,$B$1,KPI_Data!$C$4:$C$295,"Freight DIFOT",KPI_Data!$A$4:$A$295,Y8)</f>
        <v/>
      </c>
      <c r="AB8" s="49">
        <f>SUMIFS(KPI_Data!$G$4:$G$295,KPI_Data!$B$4:$B$295,$B$1,KPI_Data!$C$4:$C$295,"Freight DIFOT",KPI_Data!$A$4:$A$295,Y8)</f>
        <v/>
      </c>
      <c r="AC8" s="76">
        <f>IFERROR(AA8/AB8,"")</f>
        <v/>
      </c>
    </row>
    <row r="9" ht="15" customHeight="1" s="50">
      <c r="A9" s="75">
        <f>EDATE(A8,1)</f>
        <v/>
      </c>
      <c r="B9" s="76">
        <f>INDEX('KPI Schedule'!$B$5:$B$10,MATCH("Dock to Stock",'KPI Schedule'!$A$5:$A$10,0))</f>
        <v/>
      </c>
      <c r="C9" s="49">
        <f>SUMIFS(KPI_Data!$F$4:$F$295,KPI_Data!$B$4:$B$295,$B$1,KPI_Data!$C$4:$C$295,"Dock to Stock",KPI_Data!$A$4:$A$295,A9)</f>
        <v/>
      </c>
      <c r="D9" s="49">
        <f>SUMIFS(KPI_Data!$G$4:$G$295,KPI_Data!$B$4:$B$295,$B$1,KPI_Data!$C$4:$C$295,"Dock to Stock",KPI_Data!$A$4:$A$295,A9)</f>
        <v/>
      </c>
      <c r="E9" s="76">
        <f>IFERROR(C9/D9,"")</f>
        <v/>
      </c>
      <c r="G9" s="75">
        <f>EDATE(G8,1)</f>
        <v/>
      </c>
      <c r="H9" s="76">
        <f>INDEX('KPI Schedule'!$B$5:$B$10,MATCH("Cycle Count",'KPI Schedule'!$A$5:$A$10,0))</f>
        <v/>
      </c>
      <c r="I9" s="49">
        <f>SUMIFS(KPI_Data!$F$4:$F$295,KPI_Data!$B$4:$B$295,$B$1,KPI_Data!$C$4:$C$295,"Cycle Count",KPI_Data!$A$4:$A$295,G9)</f>
        <v/>
      </c>
      <c r="J9" s="49">
        <f>SUMIFS(KPI_Data!$G$4:$G$295,KPI_Data!$B$4:$B$295,$B$1,KPI_Data!$C$4:$C$295,"Cycle Count",KPI_Data!$A$4:$A$295,G9)</f>
        <v/>
      </c>
      <c r="K9" s="76">
        <f>IFERROR(I9/J9,"")</f>
        <v/>
      </c>
      <c r="M9" s="75">
        <f>EDATE(M8,1)</f>
        <v/>
      </c>
      <c r="N9" s="76">
        <f>INDEX('KPI Schedule'!$B$5:$B$10,MATCH("Order Cut Off",'KPI Schedule'!$A$5:$A$10,0))</f>
        <v/>
      </c>
      <c r="O9" s="49">
        <f>SUMIFS(KPI_Data!$F$4:$F$295,KPI_Data!$B$4:$B$295,$B$1,KPI_Data!$C$4:$C$295,"Order Cut Off",KPI_Data!$A$4:$A$295,M9)</f>
        <v/>
      </c>
      <c r="P9" s="49">
        <f>SUMIFS(KPI_Data!$G$4:$G$295,KPI_Data!$B$4:$B$295,$B$1,KPI_Data!$C$4:$C$295,"Order Cut Off",KPI_Data!$A$4:$A$295,M9)</f>
        <v/>
      </c>
      <c r="Q9" s="76">
        <f>IFERROR(O9/P9,"")</f>
        <v/>
      </c>
      <c r="S9" s="75">
        <f>EDATE(S8,1)</f>
        <v/>
      </c>
      <c r="T9" s="76">
        <f>INDEX('KPI Schedule'!$B$5:$B$10,MATCH("Order Accuracy by Unit",'KPI Schedule'!$A$5:$A$10,0))</f>
        <v/>
      </c>
      <c r="U9" s="49">
        <f>SUMIFS(KPI_Data!$F$4:$F$295,KPI_Data!$B$4:$B$295,$B$1,KPI_Data!$C$4:$C$295,"Order Accuracy by Unit",KPI_Data!$A$4:$A$295,S9)</f>
        <v/>
      </c>
      <c r="V9" s="49">
        <f>SUMIFS(KPI_Data!$G$4:$G$295,KPI_Data!$B$4:$B$295,$B$1,KPI_Data!$C$4:$C$295,"Order Accuracy by Unit",KPI_Data!$A$4:$A$295,S9)</f>
        <v/>
      </c>
      <c r="W9" s="76">
        <f>IFERROR(U9/V9,"")</f>
        <v/>
      </c>
      <c r="Y9" s="75">
        <f>EDATE(Y8,1)</f>
        <v/>
      </c>
      <c r="Z9" s="76">
        <f>INDEX('KPI Schedule'!$B$5:$B$10,MATCH("Freight DIFOT",'KPI Schedule'!$A$5:$A$10,0))</f>
        <v/>
      </c>
      <c r="AA9" s="49">
        <f>SUMIFS(KPI_Data!$F$4:$F$295,KPI_Data!$B$4:$B$295,$B$1,KPI_Data!$C$4:$C$295,"Freight DIFOT",KPI_Data!$A$4:$A$295,Y9)</f>
        <v/>
      </c>
      <c r="AB9" s="49">
        <f>SUMIFS(KPI_Data!$G$4:$G$295,KPI_Data!$B$4:$B$295,$B$1,KPI_Data!$C$4:$C$295,"Freight DIFOT",KPI_Data!$A$4:$A$295,Y9)</f>
        <v/>
      </c>
      <c r="AC9" s="76">
        <f>IFERROR(AA9/AB9,"")</f>
        <v/>
      </c>
    </row>
    <row r="10" ht="15" customHeight="1" s="50">
      <c r="A10" s="75">
        <f>EDATE(A9,1)</f>
        <v/>
      </c>
      <c r="B10" s="76">
        <f>INDEX('KPI Schedule'!$B$5:$B$10,MATCH("Dock to Stock",'KPI Schedule'!$A$5:$A$10,0))</f>
        <v/>
      </c>
      <c r="C10" s="49">
        <f>SUMIFS(KPI_Data!$F$4:$F$295,KPI_Data!$B$4:$B$295,$B$1,KPI_Data!$C$4:$C$295,"Dock to Stock",KPI_Data!$A$4:$A$295,A10)</f>
        <v/>
      </c>
      <c r="D10" s="49">
        <f>SUMIFS(KPI_Data!$G$4:$G$295,KPI_Data!$B$4:$B$295,$B$1,KPI_Data!$C$4:$C$295,"Dock to Stock",KPI_Data!$A$4:$A$295,A10)</f>
        <v/>
      </c>
      <c r="E10" s="76">
        <f>IFERROR(C10/D10,"")</f>
        <v/>
      </c>
      <c r="G10" s="75">
        <f>EDATE(G9,1)</f>
        <v/>
      </c>
      <c r="H10" s="76">
        <f>INDEX('KPI Schedule'!$B$5:$B$10,MATCH("Cycle Count",'KPI Schedule'!$A$5:$A$10,0))</f>
        <v/>
      </c>
      <c r="I10" s="49">
        <f>SUMIFS(KPI_Data!$F$4:$F$295,KPI_Data!$B$4:$B$295,$B$1,KPI_Data!$C$4:$C$295,"Cycle Count",KPI_Data!$A$4:$A$295,G10)</f>
        <v/>
      </c>
      <c r="J10" s="49">
        <f>SUMIFS(KPI_Data!$G$4:$G$295,KPI_Data!$B$4:$B$295,$B$1,KPI_Data!$C$4:$C$295,"Cycle Count",KPI_Data!$A$4:$A$295,G10)</f>
        <v/>
      </c>
      <c r="K10" s="76">
        <f>IFERROR(I10/J10,"")</f>
        <v/>
      </c>
      <c r="M10" s="75">
        <f>EDATE(M9,1)</f>
        <v/>
      </c>
      <c r="N10" s="76">
        <f>INDEX('KPI Schedule'!$B$5:$B$10,MATCH("Order Cut Off",'KPI Schedule'!$A$5:$A$10,0))</f>
        <v/>
      </c>
      <c r="O10" s="49">
        <f>SUMIFS(KPI_Data!$F$4:$F$295,KPI_Data!$B$4:$B$295,$B$1,KPI_Data!$C$4:$C$295,"Order Cut Off",KPI_Data!$A$4:$A$295,M10)</f>
        <v/>
      </c>
      <c r="P10" s="49">
        <f>SUMIFS(KPI_Data!$G$4:$G$295,KPI_Data!$B$4:$B$295,$B$1,KPI_Data!$C$4:$C$295,"Order Cut Off",KPI_Data!$A$4:$A$295,M10)</f>
        <v/>
      </c>
      <c r="Q10" s="76">
        <f>IFERROR(O10/P10,"")</f>
        <v/>
      </c>
      <c r="S10" s="75">
        <f>EDATE(S9,1)</f>
        <v/>
      </c>
      <c r="T10" s="76">
        <f>INDEX('KPI Schedule'!$B$5:$B$10,MATCH("Order Accuracy by Unit",'KPI Schedule'!$A$5:$A$10,0))</f>
        <v/>
      </c>
      <c r="U10" s="49">
        <f>SUMIFS(KPI_Data!$F$4:$F$295,KPI_Data!$B$4:$B$295,$B$1,KPI_Data!$C$4:$C$295,"Order Accuracy by Unit",KPI_Data!$A$4:$A$295,S10)</f>
        <v/>
      </c>
      <c r="V10" s="49">
        <f>SUMIFS(KPI_Data!$G$4:$G$295,KPI_Data!$B$4:$B$295,$B$1,KPI_Data!$C$4:$C$295,"Order Accuracy by Unit",KPI_Data!$A$4:$A$295,S10)</f>
        <v/>
      </c>
      <c r="W10" s="76">
        <f>IFERROR(U10/V10,"")</f>
        <v/>
      </c>
      <c r="Y10" s="75">
        <f>EDATE(Y9,1)</f>
        <v/>
      </c>
      <c r="Z10" s="76">
        <f>INDEX('KPI Schedule'!$B$5:$B$10,MATCH("Freight DIFOT",'KPI Schedule'!$A$5:$A$10,0))</f>
        <v/>
      </c>
      <c r="AA10" s="49">
        <f>SUMIFS(KPI_Data!$F$4:$F$295,KPI_Data!$B$4:$B$295,$B$1,KPI_Data!$C$4:$C$295,"Freight DIFOT",KPI_Data!$A$4:$A$295,Y10)</f>
        <v/>
      </c>
      <c r="AB10" s="49">
        <f>SUMIFS(KPI_Data!$G$4:$G$295,KPI_Data!$B$4:$B$295,$B$1,KPI_Data!$C$4:$C$295,"Freight DIFOT",KPI_Data!$A$4:$A$295,Y10)</f>
        <v/>
      </c>
      <c r="AC10" s="76">
        <f>IFERROR(AA10/AB10,"")</f>
        <v/>
      </c>
    </row>
    <row r="11" ht="15" customHeight="1" s="50">
      <c r="A11" s="75">
        <f>EDATE(A10,1)</f>
        <v/>
      </c>
      <c r="B11" s="76">
        <f>INDEX('KPI Schedule'!$B$5:$B$10,MATCH("Dock to Stock",'KPI Schedule'!$A$5:$A$10,0))</f>
        <v/>
      </c>
      <c r="C11" s="49">
        <f>SUMIFS(KPI_Data!$F$4:$F$295,KPI_Data!$B$4:$B$295,$B$1,KPI_Data!$C$4:$C$295,"Dock to Stock",KPI_Data!$A$4:$A$295,A11)</f>
        <v/>
      </c>
      <c r="D11" s="49">
        <f>SUMIFS(KPI_Data!$G$4:$G$295,KPI_Data!$B$4:$B$295,$B$1,KPI_Data!$C$4:$C$295,"Dock to Stock",KPI_Data!$A$4:$A$295,A11)</f>
        <v/>
      </c>
      <c r="E11" s="76">
        <f>IFERROR(C11/D11,"")</f>
        <v/>
      </c>
      <c r="G11" s="75">
        <f>EDATE(G10,1)</f>
        <v/>
      </c>
      <c r="H11" s="76">
        <f>INDEX('KPI Schedule'!$B$5:$B$10,MATCH("Cycle Count",'KPI Schedule'!$A$5:$A$10,0))</f>
        <v/>
      </c>
      <c r="I11" s="49">
        <f>SUMIFS(KPI_Data!$F$4:$F$295,KPI_Data!$B$4:$B$295,$B$1,KPI_Data!$C$4:$C$295,"Cycle Count",KPI_Data!$A$4:$A$295,G11)</f>
        <v/>
      </c>
      <c r="J11" s="49">
        <f>SUMIFS(KPI_Data!$G$4:$G$295,KPI_Data!$B$4:$B$295,$B$1,KPI_Data!$C$4:$C$295,"Cycle Count",KPI_Data!$A$4:$A$295,G11)</f>
        <v/>
      </c>
      <c r="K11" s="76">
        <f>IFERROR(I11/J11,"")</f>
        <v/>
      </c>
      <c r="M11" s="75">
        <f>EDATE(M10,1)</f>
        <v/>
      </c>
      <c r="N11" s="76">
        <f>INDEX('KPI Schedule'!$B$5:$B$10,MATCH("Order Cut Off",'KPI Schedule'!$A$5:$A$10,0))</f>
        <v/>
      </c>
      <c r="O11" s="49">
        <f>SUMIFS(KPI_Data!$F$4:$F$295,KPI_Data!$B$4:$B$295,$B$1,KPI_Data!$C$4:$C$295,"Order Cut Off",KPI_Data!$A$4:$A$295,M11)</f>
        <v/>
      </c>
      <c r="P11" s="49">
        <f>SUMIFS(KPI_Data!$G$4:$G$295,KPI_Data!$B$4:$B$295,$B$1,KPI_Data!$C$4:$C$295,"Order Cut Off",KPI_Data!$A$4:$A$295,M11)</f>
        <v/>
      </c>
      <c r="Q11" s="76">
        <f>IFERROR(O11/P11,"")</f>
        <v/>
      </c>
      <c r="S11" s="75">
        <f>EDATE(S10,1)</f>
        <v/>
      </c>
      <c r="T11" s="76">
        <f>INDEX('KPI Schedule'!$B$5:$B$10,MATCH("Order Accuracy by Unit",'KPI Schedule'!$A$5:$A$10,0))</f>
        <v/>
      </c>
      <c r="U11" s="49">
        <f>SUMIFS(KPI_Data!$F$4:$F$295,KPI_Data!$B$4:$B$295,$B$1,KPI_Data!$C$4:$C$295,"Order Accuracy by Unit",KPI_Data!$A$4:$A$295,S11)</f>
        <v/>
      </c>
      <c r="V11" s="49">
        <f>SUMIFS(KPI_Data!$G$4:$G$295,KPI_Data!$B$4:$B$295,$B$1,KPI_Data!$C$4:$C$295,"Order Accuracy by Unit",KPI_Data!$A$4:$A$295,S11)</f>
        <v/>
      </c>
      <c r="W11" s="76">
        <f>IFERROR(U11/V11,"")</f>
        <v/>
      </c>
      <c r="Y11" s="75">
        <f>EDATE(Y10,1)</f>
        <v/>
      </c>
      <c r="Z11" s="76">
        <f>INDEX('KPI Schedule'!$B$5:$B$10,MATCH("Freight DIFOT",'KPI Schedule'!$A$5:$A$10,0))</f>
        <v/>
      </c>
      <c r="AA11" s="49">
        <f>SUMIFS(KPI_Data!$F$4:$F$295,KPI_Data!$B$4:$B$295,$B$1,KPI_Data!$C$4:$C$295,"Freight DIFOT",KPI_Data!$A$4:$A$295,Y11)</f>
        <v/>
      </c>
      <c r="AB11" s="49">
        <f>SUMIFS(KPI_Data!$G$4:$G$295,KPI_Data!$B$4:$B$295,$B$1,KPI_Data!$C$4:$C$295,"Freight DIFOT",KPI_Data!$A$4:$A$295,Y11)</f>
        <v/>
      </c>
      <c r="AC11" s="76">
        <f>IFERROR(AA11/AB11,"")</f>
        <v/>
      </c>
    </row>
    <row r="12" ht="15" customHeight="1" s="50">
      <c r="A12" s="75">
        <f>EDATE(A11,1)</f>
        <v/>
      </c>
      <c r="B12" s="76">
        <f>INDEX('KPI Schedule'!$B$5:$B$10,MATCH("Dock to Stock",'KPI Schedule'!$A$5:$A$10,0))</f>
        <v/>
      </c>
      <c r="C12" s="49">
        <f>SUMIFS(KPI_Data!$F$4:$F$295,KPI_Data!$B$4:$B$295,$B$1,KPI_Data!$C$4:$C$295,"Dock to Stock",KPI_Data!$A$4:$A$295,A12)</f>
        <v/>
      </c>
      <c r="D12" s="49">
        <f>SUMIFS(KPI_Data!$G$4:$G$295,KPI_Data!$B$4:$B$295,$B$1,KPI_Data!$C$4:$C$295,"Dock to Stock",KPI_Data!$A$4:$A$295,A12)</f>
        <v/>
      </c>
      <c r="E12" s="76">
        <f>IFERROR(C12/D12,"")</f>
        <v/>
      </c>
      <c r="G12" s="75">
        <f>EDATE(G11,1)</f>
        <v/>
      </c>
      <c r="H12" s="76">
        <f>INDEX('KPI Schedule'!$B$5:$B$10,MATCH("Cycle Count",'KPI Schedule'!$A$5:$A$10,0))</f>
        <v/>
      </c>
      <c r="I12" s="49">
        <f>SUMIFS(KPI_Data!$F$4:$F$295,KPI_Data!$B$4:$B$295,$B$1,KPI_Data!$C$4:$C$295,"Cycle Count",KPI_Data!$A$4:$A$295,G12)</f>
        <v/>
      </c>
      <c r="J12" s="49">
        <f>SUMIFS(KPI_Data!$G$4:$G$295,KPI_Data!$B$4:$B$295,$B$1,KPI_Data!$C$4:$C$295,"Cycle Count",KPI_Data!$A$4:$A$295,G12)</f>
        <v/>
      </c>
      <c r="K12" s="76">
        <f>IFERROR(I12/J12,"")</f>
        <v/>
      </c>
      <c r="M12" s="75">
        <f>EDATE(M11,1)</f>
        <v/>
      </c>
      <c r="N12" s="76">
        <f>INDEX('KPI Schedule'!$B$5:$B$10,MATCH("Order Cut Off",'KPI Schedule'!$A$5:$A$10,0))</f>
        <v/>
      </c>
      <c r="O12" s="49">
        <f>SUMIFS(KPI_Data!$F$4:$F$295,KPI_Data!$B$4:$B$295,$B$1,KPI_Data!$C$4:$C$295,"Order Cut Off",KPI_Data!$A$4:$A$295,M12)</f>
        <v/>
      </c>
      <c r="P12" s="49">
        <f>SUMIFS(KPI_Data!$G$4:$G$295,KPI_Data!$B$4:$B$295,$B$1,KPI_Data!$C$4:$C$295,"Order Cut Off",KPI_Data!$A$4:$A$295,M12)</f>
        <v/>
      </c>
      <c r="Q12" s="76">
        <f>IFERROR(O12/P12,"")</f>
        <v/>
      </c>
      <c r="S12" s="75">
        <f>EDATE(S11,1)</f>
        <v/>
      </c>
      <c r="T12" s="76">
        <f>INDEX('KPI Schedule'!$B$5:$B$10,MATCH("Order Accuracy by Unit",'KPI Schedule'!$A$5:$A$10,0))</f>
        <v/>
      </c>
      <c r="U12" s="49">
        <f>SUMIFS(KPI_Data!$F$4:$F$295,KPI_Data!$B$4:$B$295,$B$1,KPI_Data!$C$4:$C$295,"Order Accuracy by Unit",KPI_Data!$A$4:$A$295,S12)</f>
        <v/>
      </c>
      <c r="V12" s="49">
        <f>SUMIFS(KPI_Data!$G$4:$G$295,KPI_Data!$B$4:$B$295,$B$1,KPI_Data!$C$4:$C$295,"Order Accuracy by Unit",KPI_Data!$A$4:$A$295,S12)</f>
        <v/>
      </c>
      <c r="W12" s="76">
        <f>IFERROR(U12/V12,"")</f>
        <v/>
      </c>
      <c r="Y12" s="75">
        <f>EDATE(Y11,1)</f>
        <v/>
      </c>
      <c r="Z12" s="76">
        <f>INDEX('KPI Schedule'!$B$5:$B$10,MATCH("Freight DIFOT",'KPI Schedule'!$A$5:$A$10,0))</f>
        <v/>
      </c>
      <c r="AA12" s="49">
        <f>SUMIFS(KPI_Data!$F$4:$F$295,KPI_Data!$B$4:$B$295,$B$1,KPI_Data!$C$4:$C$295,"Freight DIFOT",KPI_Data!$A$4:$A$295,Y12)</f>
        <v/>
      </c>
      <c r="AB12" s="49">
        <f>SUMIFS(KPI_Data!$G$4:$G$295,KPI_Data!$B$4:$B$295,$B$1,KPI_Data!$C$4:$C$295,"Freight DIFOT",KPI_Data!$A$4:$A$295,Y12)</f>
        <v/>
      </c>
      <c r="AC12" s="76">
        <f>IFERROR(AA12/AB12,"")</f>
        <v/>
      </c>
    </row>
    <row r="13" ht="15" customHeight="1" s="50">
      <c r="A13" s="75">
        <f>EDATE(A12,1)</f>
        <v/>
      </c>
      <c r="B13" s="76">
        <f>INDEX('KPI Schedule'!$B$5:$B$10,MATCH("Dock to Stock",'KPI Schedule'!$A$5:$A$10,0))</f>
        <v/>
      </c>
      <c r="C13" s="49">
        <f>SUMIFS(KPI_Data!$F$4:$F$295,KPI_Data!$B$4:$B$295,$B$1,KPI_Data!$C$4:$C$295,"Dock to Stock",KPI_Data!$A$4:$A$295,A13)</f>
        <v/>
      </c>
      <c r="D13" s="49">
        <f>SUMIFS(KPI_Data!$G$4:$G$295,KPI_Data!$B$4:$B$295,$B$1,KPI_Data!$C$4:$C$295,"Dock to Stock",KPI_Data!$A$4:$A$295,A13)</f>
        <v/>
      </c>
      <c r="E13" s="76">
        <f>IFERROR(C13/D13,"")</f>
        <v/>
      </c>
      <c r="G13" s="75">
        <f>EDATE(G12,1)</f>
        <v/>
      </c>
      <c r="H13" s="76">
        <f>INDEX('KPI Schedule'!$B$5:$B$10,MATCH("Cycle Count",'KPI Schedule'!$A$5:$A$10,0))</f>
        <v/>
      </c>
      <c r="I13" s="49">
        <f>SUMIFS(KPI_Data!$F$4:$F$295,KPI_Data!$B$4:$B$295,$B$1,KPI_Data!$C$4:$C$295,"Cycle Count",KPI_Data!$A$4:$A$295,G13)</f>
        <v/>
      </c>
      <c r="J13" s="49">
        <f>SUMIFS(KPI_Data!$G$4:$G$295,KPI_Data!$B$4:$B$295,$B$1,KPI_Data!$C$4:$C$295,"Cycle Count",KPI_Data!$A$4:$A$295,G13)</f>
        <v/>
      </c>
      <c r="K13" s="76">
        <f>IFERROR(I13/J13,"")</f>
        <v/>
      </c>
      <c r="M13" s="75">
        <f>EDATE(M12,1)</f>
        <v/>
      </c>
      <c r="N13" s="76">
        <f>INDEX('KPI Schedule'!$B$5:$B$10,MATCH("Order Cut Off",'KPI Schedule'!$A$5:$A$10,0))</f>
        <v/>
      </c>
      <c r="O13" s="49">
        <f>SUMIFS(KPI_Data!$F$4:$F$295,KPI_Data!$B$4:$B$295,$B$1,KPI_Data!$C$4:$C$295,"Order Cut Off",KPI_Data!$A$4:$A$295,M13)</f>
        <v/>
      </c>
      <c r="P13" s="49">
        <f>SUMIFS(KPI_Data!$G$4:$G$295,KPI_Data!$B$4:$B$295,$B$1,KPI_Data!$C$4:$C$295,"Order Cut Off",KPI_Data!$A$4:$A$295,M13)</f>
        <v/>
      </c>
      <c r="Q13" s="76">
        <f>IFERROR(O13/P13,"")</f>
        <v/>
      </c>
      <c r="S13" s="75">
        <f>EDATE(S12,1)</f>
        <v/>
      </c>
      <c r="T13" s="76">
        <f>INDEX('KPI Schedule'!$B$5:$B$10,MATCH("Order Accuracy by Unit",'KPI Schedule'!$A$5:$A$10,0))</f>
        <v/>
      </c>
      <c r="U13" s="49">
        <f>SUMIFS(KPI_Data!$F$4:$F$295,KPI_Data!$B$4:$B$295,$B$1,KPI_Data!$C$4:$C$295,"Order Accuracy by Unit",KPI_Data!$A$4:$A$295,S13)</f>
        <v/>
      </c>
      <c r="V13" s="49">
        <f>SUMIFS(KPI_Data!$G$4:$G$295,KPI_Data!$B$4:$B$295,$B$1,KPI_Data!$C$4:$C$295,"Order Accuracy by Unit",KPI_Data!$A$4:$A$295,S13)</f>
        <v/>
      </c>
      <c r="W13" s="76">
        <f>IFERROR(U13/V13,"")</f>
        <v/>
      </c>
      <c r="Y13" s="75">
        <f>EDATE(Y12,1)</f>
        <v/>
      </c>
      <c r="Z13" s="76">
        <f>INDEX('KPI Schedule'!$B$5:$B$10,MATCH("Freight DIFOT",'KPI Schedule'!$A$5:$A$10,0))</f>
        <v/>
      </c>
      <c r="AA13" s="49">
        <f>SUMIFS(KPI_Data!$F$4:$F$295,KPI_Data!$B$4:$B$295,$B$1,KPI_Data!$C$4:$C$295,"Freight DIFOT",KPI_Data!$A$4:$A$295,Y13)</f>
        <v/>
      </c>
      <c r="AB13" s="49">
        <f>SUMIFS(KPI_Data!$G$4:$G$295,KPI_Data!$B$4:$B$295,$B$1,KPI_Data!$C$4:$C$295,"Freight DIFOT",KPI_Data!$A$4:$A$295,Y13)</f>
        <v/>
      </c>
      <c r="AC13" s="76">
        <f>IFERROR(AA13/AB13,"")</f>
        <v/>
      </c>
    </row>
    <row r="14" ht="15" customHeight="1" s="50">
      <c r="A14" s="75">
        <f>EDATE(A13,1)</f>
        <v/>
      </c>
      <c r="B14" s="76">
        <f>INDEX('KPI Schedule'!$B$5:$B$10,MATCH("Dock to Stock",'KPI Schedule'!$A$5:$A$10,0))</f>
        <v/>
      </c>
      <c r="C14" s="49">
        <f>SUMIFS(KPI_Data!$F$4:$F$295,KPI_Data!$B$4:$B$295,$B$1,KPI_Data!$C$4:$C$295,"Dock to Stock",KPI_Data!$A$4:$A$295,A14)</f>
        <v/>
      </c>
      <c r="D14" s="49">
        <f>SUMIFS(KPI_Data!$G$4:$G$295,KPI_Data!$B$4:$B$295,$B$1,KPI_Data!$C$4:$C$295,"Dock to Stock",KPI_Data!$A$4:$A$295,A14)</f>
        <v/>
      </c>
      <c r="E14" s="76">
        <f>IFERROR(C14/D14,"")</f>
        <v/>
      </c>
      <c r="G14" s="75">
        <f>EDATE(G13,1)</f>
        <v/>
      </c>
      <c r="H14" s="76">
        <f>INDEX('KPI Schedule'!$B$5:$B$10,MATCH("Cycle Count",'KPI Schedule'!$A$5:$A$10,0))</f>
        <v/>
      </c>
      <c r="I14" s="49">
        <f>SUMIFS(KPI_Data!$F$4:$F$295,KPI_Data!$B$4:$B$295,$B$1,KPI_Data!$C$4:$C$295,"Cycle Count",KPI_Data!$A$4:$A$295,G14)</f>
        <v/>
      </c>
      <c r="J14" s="49">
        <f>SUMIFS(KPI_Data!$G$4:$G$295,KPI_Data!$B$4:$B$295,$B$1,KPI_Data!$C$4:$C$295,"Cycle Count",KPI_Data!$A$4:$A$295,G14)</f>
        <v/>
      </c>
      <c r="K14" s="76">
        <f>IFERROR(I14/J14,"")</f>
        <v/>
      </c>
      <c r="M14" s="75">
        <f>EDATE(M13,1)</f>
        <v/>
      </c>
      <c r="N14" s="76">
        <f>INDEX('KPI Schedule'!$B$5:$B$10,MATCH("Order Cut Off",'KPI Schedule'!$A$5:$A$10,0))</f>
        <v/>
      </c>
      <c r="O14" s="49">
        <f>SUMIFS(KPI_Data!$F$4:$F$295,KPI_Data!$B$4:$B$295,$B$1,KPI_Data!$C$4:$C$295,"Order Cut Off",KPI_Data!$A$4:$A$295,M14)</f>
        <v/>
      </c>
      <c r="P14" s="49">
        <f>SUMIFS(KPI_Data!$G$4:$G$295,KPI_Data!$B$4:$B$295,$B$1,KPI_Data!$C$4:$C$295,"Order Cut Off",KPI_Data!$A$4:$A$295,M14)</f>
        <v/>
      </c>
      <c r="Q14" s="76">
        <f>IFERROR(O14/P14,"")</f>
        <v/>
      </c>
      <c r="S14" s="75">
        <f>EDATE(S13,1)</f>
        <v/>
      </c>
      <c r="T14" s="76">
        <f>INDEX('KPI Schedule'!$B$5:$B$10,MATCH("Order Accuracy by Unit",'KPI Schedule'!$A$5:$A$10,0))</f>
        <v/>
      </c>
      <c r="U14" s="49">
        <f>SUMIFS(KPI_Data!$F$4:$F$295,KPI_Data!$B$4:$B$295,$B$1,KPI_Data!$C$4:$C$295,"Order Accuracy by Unit",KPI_Data!$A$4:$A$295,S14)</f>
        <v/>
      </c>
      <c r="V14" s="49">
        <f>SUMIFS(KPI_Data!$G$4:$G$295,KPI_Data!$B$4:$B$295,$B$1,KPI_Data!$C$4:$C$295,"Order Accuracy by Unit",KPI_Data!$A$4:$A$295,S14)</f>
        <v/>
      </c>
      <c r="W14" s="76">
        <f>IFERROR(U14/V14,"")</f>
        <v/>
      </c>
      <c r="Y14" s="75">
        <f>EDATE(Y13,1)</f>
        <v/>
      </c>
      <c r="Z14" s="76">
        <f>INDEX('KPI Schedule'!$B$5:$B$10,MATCH("Freight DIFOT",'KPI Schedule'!$A$5:$A$10,0))</f>
        <v/>
      </c>
      <c r="AA14" s="49">
        <f>SUMIFS(KPI_Data!$F$4:$F$295,KPI_Data!$B$4:$B$295,$B$1,KPI_Data!$C$4:$C$295,"Freight DIFOT",KPI_Data!$A$4:$A$295,Y14)</f>
        <v/>
      </c>
      <c r="AB14" s="49">
        <f>SUMIFS(KPI_Data!$G$4:$G$295,KPI_Data!$B$4:$B$295,$B$1,KPI_Data!$C$4:$C$295,"Freight DIFOT",KPI_Data!$A$4:$A$295,Y14)</f>
        <v/>
      </c>
      <c r="AC14" s="76">
        <f>IFERROR(AA14/AB14,"")</f>
        <v/>
      </c>
    </row>
    <row r="15" ht="15" customHeight="1" s="50">
      <c r="A15" s="75">
        <f>EDATE(A14,1)</f>
        <v/>
      </c>
      <c r="B15" s="76">
        <f>INDEX('KPI Schedule'!$B$5:$B$10,MATCH("Dock to Stock",'KPI Schedule'!$A$5:$A$10,0))</f>
        <v/>
      </c>
      <c r="C15" s="49">
        <f>SUMIFS(KPI_Data!$F$4:$F$295,KPI_Data!$B$4:$B$295,$B$1,KPI_Data!$C$4:$C$295,"Dock to Stock",KPI_Data!$A$4:$A$295,A15)</f>
        <v/>
      </c>
      <c r="D15" s="49">
        <f>SUMIFS(KPI_Data!$G$4:$G$295,KPI_Data!$B$4:$B$295,$B$1,KPI_Data!$C$4:$C$295,"Dock to Stock",KPI_Data!$A$4:$A$295,A15)</f>
        <v/>
      </c>
      <c r="E15" s="76">
        <f>IFERROR(C15/D15,"")</f>
        <v/>
      </c>
      <c r="G15" s="75">
        <f>EDATE(G14,1)</f>
        <v/>
      </c>
      <c r="H15" s="76">
        <f>INDEX('KPI Schedule'!$B$5:$B$10,MATCH("Cycle Count",'KPI Schedule'!$A$5:$A$10,0))</f>
        <v/>
      </c>
      <c r="I15" s="49">
        <f>SUMIFS(KPI_Data!$F$4:$F$295,KPI_Data!$B$4:$B$295,$B$1,KPI_Data!$C$4:$C$295,"Cycle Count",KPI_Data!$A$4:$A$295,G15)</f>
        <v/>
      </c>
      <c r="J15" s="49">
        <f>SUMIFS(KPI_Data!$G$4:$G$295,KPI_Data!$B$4:$B$295,$B$1,KPI_Data!$C$4:$C$295,"Cycle Count",KPI_Data!$A$4:$A$295,G15)</f>
        <v/>
      </c>
      <c r="K15" s="76">
        <f>IFERROR(I15/J15,"")</f>
        <v/>
      </c>
      <c r="M15" s="75">
        <f>EDATE(M14,1)</f>
        <v/>
      </c>
      <c r="N15" s="76">
        <f>INDEX('KPI Schedule'!$B$5:$B$10,MATCH("Order Cut Off",'KPI Schedule'!$A$5:$A$10,0))</f>
        <v/>
      </c>
      <c r="O15" s="49">
        <f>SUMIFS(KPI_Data!$F$4:$F$295,KPI_Data!$B$4:$B$295,$B$1,KPI_Data!$C$4:$C$295,"Order Cut Off",KPI_Data!$A$4:$A$295,M15)</f>
        <v/>
      </c>
      <c r="P15" s="49">
        <f>SUMIFS(KPI_Data!$G$4:$G$295,KPI_Data!$B$4:$B$295,$B$1,KPI_Data!$C$4:$C$295,"Order Cut Off",KPI_Data!$A$4:$A$295,M15)</f>
        <v/>
      </c>
      <c r="Q15" s="76">
        <f>IFERROR(O15/P15,"")</f>
        <v/>
      </c>
      <c r="S15" s="75">
        <f>EDATE(S14,1)</f>
        <v/>
      </c>
      <c r="T15" s="76">
        <f>INDEX('KPI Schedule'!$B$5:$B$10,MATCH("Order Accuracy by Unit",'KPI Schedule'!$A$5:$A$10,0))</f>
        <v/>
      </c>
      <c r="U15" s="49">
        <f>SUMIFS(KPI_Data!$F$4:$F$295,KPI_Data!$B$4:$B$295,$B$1,KPI_Data!$C$4:$C$295,"Order Accuracy by Unit",KPI_Data!$A$4:$A$295,S15)</f>
        <v/>
      </c>
      <c r="V15" s="49">
        <f>SUMIFS(KPI_Data!$G$4:$G$295,KPI_Data!$B$4:$B$295,$B$1,KPI_Data!$C$4:$C$295,"Order Accuracy by Unit",KPI_Data!$A$4:$A$295,S15)</f>
        <v/>
      </c>
      <c r="W15" s="76">
        <f>IFERROR(U15/V15,"")</f>
        <v/>
      </c>
      <c r="Y15" s="75">
        <f>EDATE(Y14,1)</f>
        <v/>
      </c>
      <c r="Z15" s="76">
        <f>INDEX('KPI Schedule'!$B$5:$B$10,MATCH("Freight DIFOT",'KPI Schedule'!$A$5:$A$10,0))</f>
        <v/>
      </c>
      <c r="AA15" s="49">
        <f>SUMIFS(KPI_Data!$F$4:$F$295,KPI_Data!$B$4:$B$295,$B$1,KPI_Data!$C$4:$C$295,"Freight DIFOT",KPI_Data!$A$4:$A$295,Y15)</f>
        <v/>
      </c>
      <c r="AB15" s="49">
        <f>SUMIFS(KPI_Data!$G$4:$G$295,KPI_Data!$B$4:$B$295,$B$1,KPI_Data!$C$4:$C$295,"Freight DIFOT",KPI_Data!$A$4:$A$295,Y15)</f>
        <v/>
      </c>
      <c r="AC15" s="76">
        <f>IFERROR(AA15/AB15,"")</f>
        <v/>
      </c>
    </row>
    <row r="16" ht="15" customHeight="1" s="50">
      <c r="A16" s="75">
        <f>EDATE(A15,1)</f>
        <v/>
      </c>
      <c r="B16" s="76">
        <f>INDEX('KPI Schedule'!$B$5:$B$10,MATCH("Dock to Stock",'KPI Schedule'!$A$5:$A$10,0))</f>
        <v/>
      </c>
      <c r="C16" s="49">
        <f>SUMIFS(KPI_Data!$F$4:$F$295,KPI_Data!$B$4:$B$295,$B$1,KPI_Data!$C$4:$C$295,"Dock to Stock",KPI_Data!$A$4:$A$295,A16)</f>
        <v/>
      </c>
      <c r="D16" s="49">
        <f>SUMIFS(KPI_Data!$G$4:$G$295,KPI_Data!$B$4:$B$295,$B$1,KPI_Data!$C$4:$C$295,"Dock to Stock",KPI_Data!$A$4:$A$295,A16)</f>
        <v/>
      </c>
      <c r="E16" s="76">
        <f>IFERROR(C16/D16,"")</f>
        <v/>
      </c>
      <c r="G16" s="75">
        <f>EDATE(G15,1)</f>
        <v/>
      </c>
      <c r="H16" s="76">
        <f>INDEX('KPI Schedule'!$B$5:$B$10,MATCH("Cycle Count",'KPI Schedule'!$A$5:$A$10,0))</f>
        <v/>
      </c>
      <c r="I16" s="49">
        <f>SUMIFS(KPI_Data!$F$4:$F$295,KPI_Data!$B$4:$B$295,$B$1,KPI_Data!$C$4:$C$295,"Cycle Count",KPI_Data!$A$4:$A$295,G16)</f>
        <v/>
      </c>
      <c r="J16" s="49">
        <f>SUMIFS(KPI_Data!$G$4:$G$295,KPI_Data!$B$4:$B$295,$B$1,KPI_Data!$C$4:$C$295,"Cycle Count",KPI_Data!$A$4:$A$295,G16)</f>
        <v/>
      </c>
      <c r="K16" s="76">
        <f>IFERROR(I16/J16,"")</f>
        <v/>
      </c>
      <c r="M16" s="75">
        <f>EDATE(M15,1)</f>
        <v/>
      </c>
      <c r="N16" s="76">
        <f>INDEX('KPI Schedule'!$B$5:$B$10,MATCH("Order Cut Off",'KPI Schedule'!$A$5:$A$10,0))</f>
        <v/>
      </c>
      <c r="O16" s="49">
        <f>SUMIFS(KPI_Data!$F$4:$F$295,KPI_Data!$B$4:$B$295,$B$1,KPI_Data!$C$4:$C$295,"Order Cut Off",KPI_Data!$A$4:$A$295,M16)</f>
        <v/>
      </c>
      <c r="P16" s="49">
        <f>SUMIFS(KPI_Data!$G$4:$G$295,KPI_Data!$B$4:$B$295,$B$1,KPI_Data!$C$4:$C$295,"Order Cut Off",KPI_Data!$A$4:$A$295,M16)</f>
        <v/>
      </c>
      <c r="Q16" s="76">
        <f>IFERROR(O16/P16,"")</f>
        <v/>
      </c>
      <c r="S16" s="75">
        <f>EDATE(S15,1)</f>
        <v/>
      </c>
      <c r="T16" s="76">
        <f>INDEX('KPI Schedule'!$B$5:$B$10,MATCH("Order Accuracy by Unit",'KPI Schedule'!$A$5:$A$10,0))</f>
        <v/>
      </c>
      <c r="U16" s="49">
        <f>SUMIFS(KPI_Data!$F$4:$F$295,KPI_Data!$B$4:$B$295,$B$1,KPI_Data!$C$4:$C$295,"Order Accuracy by Unit",KPI_Data!$A$4:$A$295,S16)</f>
        <v/>
      </c>
      <c r="V16" s="49">
        <f>SUMIFS(KPI_Data!$G$4:$G$295,KPI_Data!$B$4:$B$295,$B$1,KPI_Data!$C$4:$C$295,"Order Accuracy by Unit",KPI_Data!$A$4:$A$295,S16)</f>
        <v/>
      </c>
      <c r="W16" s="76">
        <f>IFERROR(U16/V16,"")</f>
        <v/>
      </c>
      <c r="Y16" s="75">
        <f>EDATE(Y15,1)</f>
        <v/>
      </c>
      <c r="Z16" s="76">
        <f>INDEX('KPI Schedule'!$B$5:$B$10,MATCH("Freight DIFOT",'KPI Schedule'!$A$5:$A$10,0))</f>
        <v/>
      </c>
      <c r="AA16" s="49">
        <f>SUMIFS(KPI_Data!$F$4:$F$295,KPI_Data!$B$4:$B$295,$B$1,KPI_Data!$C$4:$C$295,"Freight DIFOT",KPI_Data!$A$4:$A$295,Y16)</f>
        <v/>
      </c>
      <c r="AB16" s="49">
        <f>SUMIFS(KPI_Data!$G$4:$G$295,KPI_Data!$B$4:$B$295,$B$1,KPI_Data!$C$4:$C$295,"Freight DIFOT",KPI_Data!$A$4:$A$295,Y16)</f>
        <v/>
      </c>
      <c r="AC16" s="76">
        <f>IFERROR(AA16/AB16,"")</f>
        <v/>
      </c>
    </row>
    <row r="19" ht="15" customHeight="1" s="50">
      <c r="A19" s="57" t="inlineStr">
        <is>
          <t>Carrier</t>
        </is>
      </c>
      <c r="B19" s="57" t="inlineStr">
        <is>
          <t>Target</t>
        </is>
      </c>
      <c r="C19" s="57" t="inlineStr">
        <is>
          <t>Numerator</t>
        </is>
      </c>
      <c r="D19" s="57" t="inlineStr">
        <is>
          <t>Denominator</t>
        </is>
      </c>
      <c r="E19" s="57" t="inlineStr">
        <is>
          <t>Actual %</t>
        </is>
      </c>
    </row>
    <row r="20" ht="15" customHeight="1" s="50">
      <c r="A20" s="49" t="inlineStr">
        <is>
          <t>NZ Couriers</t>
        </is>
      </c>
      <c r="B20" s="76">
        <f>INDEX('KPI Schedule'!$B$5:$B$10,MATCH("Freight DIFOT",'KPI Schedule'!$A$5:$A$10,0))</f>
        <v/>
      </c>
      <c r="C20" s="49">
        <f>SUMIFS(KPI_Data!$F$4:$F$295,KPI_Data!$B$4:$B$295,$B$1,KPI_Data!$C$4:$C$295,"Freight DIFOT",KPI_Data!$D$4:$D$295,A20,KPI_Data!$A$4:$A$295,$B$2)</f>
        <v/>
      </c>
      <c r="D20" s="49">
        <f>SUMIFS(KPI_Data!$G$4:$G$295,KPI_Data!$B$4:$B$295,$B$1,KPI_Data!$C$4:$C$295,"Freight DIFOT",KPI_Data!$D$4:$D$295,A20,KPI_Data!$A$4:$A$295,$B$2)</f>
        <v/>
      </c>
      <c r="E20" s="76">
        <f>IFERROR(C20/D20,"")</f>
        <v/>
      </c>
    </row>
    <row r="21" ht="15" customHeight="1" s="50">
      <c r="A21" s="49" t="inlineStr">
        <is>
          <t>PBT Transport</t>
        </is>
      </c>
      <c r="B21" s="76">
        <f>INDEX('KPI Schedule'!$B$5:$B$10,MATCH("Freight DIFOT",'KPI Schedule'!$A$5:$A$10,0))</f>
        <v/>
      </c>
      <c r="C21" s="49">
        <f>SUMIFS(KPI_Data!$F$4:$F$295,KPI_Data!$B$4:$B$295,$B$1,KPI_Data!$C$4:$C$295,"Freight DIFOT",KPI_Data!$D$4:$D$295,A21,KPI_Data!$A$4:$A$295,$B$2)</f>
        <v/>
      </c>
      <c r="D21" s="49">
        <f>SUMIFS(KPI_Data!$G$4:$G$295,KPI_Data!$B$4:$B$295,$B$1,KPI_Data!$C$4:$C$295,"Freight DIFOT",KPI_Data!$D$4:$D$295,A21,KPI_Data!$A$4:$A$295,$B$2)</f>
        <v/>
      </c>
      <c r="E21" s="76">
        <f>IFERROR(C21/D21,"")</f>
        <v/>
      </c>
    </row>
    <row r="24" ht="15" customHeight="1" s="50">
      <c r="A24" s="57" t="inlineStr">
        <is>
          <t>Year</t>
        </is>
      </c>
      <c r="B24" s="57" t="inlineStr">
        <is>
          <t>Target</t>
        </is>
      </c>
      <c r="C24" s="57" t="inlineStr">
        <is>
          <t>Numerator</t>
        </is>
      </c>
      <c r="D24" s="57" t="inlineStr">
        <is>
          <t>Denominator</t>
        </is>
      </c>
      <c r="E24" s="57" t="inlineStr">
        <is>
          <t>Actual %</t>
        </is>
      </c>
    </row>
    <row r="25" ht="15" customHeight="1" s="50">
      <c r="A25" s="49">
        <f>YEAR($B$2)-1</f>
        <v/>
      </c>
      <c r="B25" s="76">
        <f>INDEX('KPI Schedule'!$B$5:$B$10,MATCH("Stock Accuracy",'KPI Schedule'!$A$5:$A$10,0))</f>
        <v/>
      </c>
      <c r="C25" s="49">
        <f>SUMPRODUCT((KPI_Data!$B$4:$B$295=$B$1)*(KPI_Data!$C$4:$C$295="Stock Accuracy")*(YEAR(KPI_Data!$A$4:$A$295)=A25)*KPI_Data!$F$4:$F$295)</f>
        <v/>
      </c>
      <c r="D25" s="49">
        <f>SUMPRODUCT((KPI_Data!$B$4:$B$295=$B$1)*(KPI_Data!$C$4:$C$295="Stock Accuracy")*(YEAR(KPI_Data!$A$4:$A$295)=A25)*KPI_Data!$G$4:$G$295)</f>
        <v/>
      </c>
      <c r="E25" s="76">
        <f>IFERROR(C25/D25,"")</f>
        <v/>
      </c>
    </row>
    <row r="26" ht="15" customHeight="1" s="50">
      <c r="A26" s="49">
        <f>YEAR($B$2)</f>
        <v/>
      </c>
      <c r="B26" s="76">
        <f>INDEX('KPI Schedule'!$B$5:$B$10,MATCH("Stock Accuracy",'KPI Schedule'!$A$5:$A$10,0))</f>
        <v/>
      </c>
      <c r="C26" s="49">
        <f>SUMPRODUCT((KPI_Data!$B$4:$B$295=$B$1)*(KPI_Data!$C$4:$C$295="Stock Accuracy")*(YEAR(KPI_Data!$A$4:$A$295)=A26)*KPI_Data!$F$4:$F$295)</f>
        <v/>
      </c>
      <c r="D26" s="49">
        <f>SUMPRODUCT((KPI_Data!$B$4:$B$295=$B$1)*(KPI_Data!$C$4:$C$295="Stock Accuracy")*(YEAR(KPI_Data!$A$4:$A$295)=A26)*KPI_Data!$G$4:$G$295)</f>
        <v/>
      </c>
      <c r="E26" s="76">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2026-06-10T23:21:10Z</dcterms:created>
  <dcterms:modified xsi:type="dcterms:W3CDTF">2026-10-14T03:42:25Z</dcterms:modified>
  <cp:revision>2</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0x010100CB702797C59B384BA5825BD7F91C8FA6</vt:lpwstr>
  </property>
</Properties>
</file>