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Dashboard" sheetId="2" state="visible" r:id="rId2"/>
    <sheet name="Charts" sheetId="3" state="visible" r:id="rId3"/>
    <sheet name="Read Me" sheetId="4" state="visible" r:id="rId4"/>
    <sheet name="KPI Schedule" sheetId="5" state="visible" r:id="rId5"/>
    <sheet name="Customers" sheetId="6" state="visible" r:id="rId6"/>
    <sheet name="KPI_Data" sheetId="7" state="visible" r:id="rId7"/>
    <sheet name="Exceptions" sheetId="8" state="visible" r:id="rId8"/>
    <sheet name="Issue Log" sheetId="9" state="visible" r:id="rId9"/>
    <sheet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yyyy"/>
    <numFmt numFmtId="165" formatCode="0.0%"/>
    <numFmt numFmtId="166" formatCode="0.0%;\-0.0%;General;General"/>
    <numFmt numFmtId="167" formatCode="yyyy\-mm\-dd"/>
    <numFmt numFmtId="168" formatCode="yyyy\-mm\-dd\ h:mm:ss"/>
    <numFmt numFmtId="169" formatCode="yyyy-mm-dd"/>
    <numFmt numFmtId="170" formatCode="yyyy-mm-dd h:mm:ss"/>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xf numFmtId="170" fontId="0" fillId="0" borderId="0" pivotButton="0" quotePrefix="0" xfId="0"/>
    <xf numFmtId="4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Dock to Stock - rolling 12 months</a:t>
            </a:r>
          </a:p>
        </rich>
      </tx>
      <overlay val="0"/>
      <spPr>
        <a:noFill/>
        <a:ln w="0">
          <a:noFill/>
          <a:prstDash val="solid"/>
        </a:ln>
      </spPr>
    </title>
    <plotArea>
      <lineChart>
        <grouping val="standard"/>
        <varyColors val="0"/>
        <ser>
          <idx val="0"/>
          <order val="0"/>
          <tx>
            <strRef>
              <f>Dashboard_Calc!B4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3070127"/>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Cycle Count - rolling 12 months</a:t>
            </a:r>
          </a:p>
        </rich>
      </tx>
      <overlay val="0"/>
      <spPr>
        <a:noFill/>
        <a:ln w="0">
          <a:noFill/>
          <a:prstDash val="solid"/>
        </a:ln>
      </spPr>
    </title>
    <plotArea>
      <lineChart>
        <grouping val="standard"/>
        <varyColors val="0"/>
        <ser>
          <idx val="0"/>
          <order val="0"/>
          <tx>
            <strRef>
              <f>Dashboard_Calc!H4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77588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Cut Off - rolling 12 months</a:t>
            </a:r>
          </a:p>
        </rich>
      </tx>
      <overlay val="0"/>
      <spPr>
        <a:noFill/>
        <a:ln w="0">
          <a:noFill/>
          <a:prstDash val="solid"/>
        </a:ln>
      </spPr>
    </title>
    <plotArea>
      <lineChart>
        <grouping val="standard"/>
        <varyColors val="0"/>
        <ser>
          <idx val="0"/>
          <order val="0"/>
          <tx>
            <strRef>
              <f>Dashboard_Calc!N4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874847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Accuracy by Unit - rolling 12 months</a:t>
            </a:r>
          </a:p>
        </rich>
      </tx>
      <overlay val="0"/>
      <spPr>
        <a:noFill/>
        <a:ln w="0">
          <a:noFill/>
          <a:prstDash val="solid"/>
        </a:ln>
      </spPr>
    </title>
    <plotArea>
      <lineChart>
        <grouping val="standard"/>
        <varyColors val="0"/>
        <ser>
          <idx val="0"/>
          <order val="0"/>
          <tx>
            <strRef>
              <f>Dashboard_Calc!T4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1537034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(overall) - rolling 12 months</a:t>
            </a:r>
          </a:p>
        </rich>
      </tx>
      <overlay val="0"/>
      <spPr>
        <a:noFill/>
        <a:ln w="0">
          <a:noFill/>
          <a:prstDash val="solid"/>
        </a:ln>
      </spPr>
    </title>
    <plotArea>
      <lineChart>
        <grouping val="standard"/>
        <varyColors val="0"/>
        <ser>
          <idx val="0"/>
          <order val="0"/>
          <tx>
            <strRef>
              <f>Dashboard_Calc!Z4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027031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by Carrier - latest month</a:t>
            </a:r>
          </a:p>
        </rich>
      </tx>
      <overlay val="0"/>
      <spPr>
        <a:noFill/>
        <a:ln w="0">
          <a:noFill/>
          <a:prstDash val="solid"/>
        </a:ln>
      </spPr>
    </title>
    <plotArea>
      <barChart>
        <barDir val="col"/>
        <grouping val="clustered"/>
        <varyColors val="0"/>
        <ser>
          <idx val="0"/>
          <order val="0"/>
          <tx>
            <strRef>
              <f>Dashboard_Calc!B19</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11690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Stock Accuracy by Year</a:t>
            </a:r>
          </a:p>
        </rich>
      </tx>
      <overlay val="0"/>
      <spPr>
        <a:noFill/>
        <a:ln w="0">
          <a:noFill/>
          <a:prstDash val="solid"/>
        </a:ln>
      </spPr>
    </title>
    <plotArea>
      <barChart>
        <barDir val="col"/>
        <grouping val="clustered"/>
        <varyColors val="0"/>
        <ser>
          <idx val="0"/>
          <order val="0"/>
          <tx>
            <strRef>
              <f>Dashboard_Calc!B24</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419620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a:graphicData uri="http://schemas.openxmlformats.org/drawingml/2006/chart">
          <c:chart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4" ht="15" customHeight="1" s="50">
      <c r="A4" s="57" t="inlineStr">
        <is>
          <t>Customer:</t>
        </is>
      </c>
      <c r="C4" s="58" t="inlineStr">
        <is>
          <t>Aleger Studio</t>
        </is>
      </c>
    </row>
    <row r="5" ht="15" customHeight="1" s="50">
      <c r="A5" s="57" t="inlineStr">
        <is>
          <t>Report Month:</t>
        </is>
      </c>
      <c r="C5" s="59">
        <f>Dashboard_Calc!B2</f>
        <v/>
      </c>
    </row>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F322/G322</f>
        <v/>
      </c>
      <c r="I306" s="49">
        <f>IF(H322&gt;=E322,"Yes","No")</f>
        <v/>
      </c>
    </row>
    <row r="307" ht="15" customHeight="1" s="50">
      <c r="A307" s="78" t="n">
        <v>46266</v>
      </c>
      <c r="B307" s="49" t="inlineStr">
        <is>
          <t>Baking Tech</t>
        </is>
      </c>
      <c r="C307" s="49" t="inlineStr">
        <is>
          <t>Dock to Stock</t>
        </is>
      </c>
      <c r="E307" s="79" t="n">
        <v>0.95</v>
      </c>
      <c r="F307" s="49" t="n">
        <v>1</v>
      </c>
      <c r="G307" s="49" t="n">
        <v>1</v>
      </c>
      <c r="H307" s="79">
        <f>F323/G323</f>
        <v/>
      </c>
      <c r="I307" s="49">
        <f>IF(H323&gt;=E323,"Yes","No")</f>
        <v/>
      </c>
    </row>
    <row r="308" ht="15" customHeight="1" s="50">
      <c r="A308" s="78" t="n">
        <v>46266</v>
      </c>
      <c r="B308" s="49" t="inlineStr">
        <is>
          <t>Coromandel Mountains Company Limited</t>
        </is>
      </c>
      <c r="C308" s="49" t="inlineStr">
        <is>
          <t>Dock to Stock</t>
        </is>
      </c>
      <c r="E308" s="79" t="n">
        <v>0.95</v>
      </c>
      <c r="F308" s="49" t="n">
        <v>1</v>
      </c>
      <c r="G308" s="49" t="n">
        <v>1</v>
      </c>
      <c r="H308" s="79">
        <f>F324/G324</f>
        <v/>
      </c>
      <c r="I308" s="49">
        <f>IF(H324&gt;=E324,"Yes","No")</f>
        <v/>
      </c>
    </row>
    <row r="309" ht="15" customHeight="1" s="50">
      <c r="A309" s="78" t="n">
        <v>46266</v>
      </c>
      <c r="B309" s="49" t="inlineStr">
        <is>
          <t>Flo &amp; Frankie</t>
        </is>
      </c>
      <c r="C309" s="49" t="inlineStr">
        <is>
          <t>Dock to Stock</t>
        </is>
      </c>
      <c r="E309" s="79" t="n">
        <v>0.95</v>
      </c>
      <c r="F309" s="49" t="n">
        <v>12</v>
      </c>
      <c r="G309" s="49" t="n">
        <v>13</v>
      </c>
      <c r="H309" s="79">
        <f>F325/G325</f>
        <v/>
      </c>
      <c r="I309" s="49">
        <f>IF(H325&gt;=E325,"Yes","No")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F326/G326</f>
        <v/>
      </c>
      <c r="I310" s="49">
        <f>IF(H326&gt;=E326,"Yes","No")</f>
        <v/>
      </c>
    </row>
    <row r="311" ht="15" customHeight="1" s="50">
      <c r="A311" s="78" t="n">
        <v>46266</v>
      </c>
      <c r="B311" s="49" t="inlineStr">
        <is>
          <t>May Eleven NZ</t>
        </is>
      </c>
      <c r="C311" s="49" t="inlineStr">
        <is>
          <t>Dock to Stock</t>
        </is>
      </c>
      <c r="E311" s="79" t="n">
        <v>0.95</v>
      </c>
      <c r="F311" s="49" t="n">
        <v>3</v>
      </c>
      <c r="G311" s="49" t="n">
        <v>3</v>
      </c>
      <c r="H311" s="79">
        <f>F327/G327</f>
        <v/>
      </c>
      <c r="I311" s="49">
        <f>IF(H327&gt;=E327,"Yes","No")</f>
        <v/>
      </c>
    </row>
    <row r="312" ht="15" customHeight="1" s="50">
      <c r="A312" s="78" t="n">
        <v>46266</v>
      </c>
      <c r="B312" s="49" t="inlineStr">
        <is>
          <t>Oricom</t>
        </is>
      </c>
      <c r="C312" s="49" t="inlineStr">
        <is>
          <t>Dock to Stock</t>
        </is>
      </c>
      <c r="E312" s="79" t="n">
        <v>0.95</v>
      </c>
      <c r="F312" s="49" t="n">
        <v>3</v>
      </c>
      <c r="G312" s="49" t="n">
        <v>4</v>
      </c>
      <c r="H312" s="79">
        <f>F328/G328</f>
        <v/>
      </c>
      <c r="I312" s="49">
        <f>IF(H328&gt;=E328,"Yes","No")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F329/G329</f>
        <v/>
      </c>
      <c r="I313" s="49">
        <f>IF(H329&gt;=E329,"Yes","No")</f>
        <v/>
      </c>
    </row>
    <row r="314" ht="15" customHeight="1" s="50">
      <c r="A314" s="78" t="n">
        <v>46266</v>
      </c>
      <c r="B314" s="49" t="inlineStr">
        <is>
          <t>Simply Clean</t>
        </is>
      </c>
      <c r="C314" s="49" t="inlineStr">
        <is>
          <t>Dock to Stock</t>
        </is>
      </c>
      <c r="E314" s="79" t="n">
        <v>0.95</v>
      </c>
      <c r="F314" s="49" t="n">
        <v>1</v>
      </c>
      <c r="G314" s="49" t="n">
        <v>1</v>
      </c>
      <c r="H314" s="79">
        <f>F330/G330</f>
        <v/>
      </c>
      <c r="I314" s="49">
        <f>IF(H330&gt;=E330,"Yes","No")</f>
        <v/>
      </c>
    </row>
    <row r="315" ht="15" customHeight="1" s="50">
      <c r="A315" s="78" t="n">
        <v>46266</v>
      </c>
      <c r="B315" s="49" t="inlineStr">
        <is>
          <t>Vixxen</t>
        </is>
      </c>
      <c r="C315" s="49" t="inlineStr">
        <is>
          <t>Dock to Stock</t>
        </is>
      </c>
      <c r="E315" s="79" t="n">
        <v>0.95</v>
      </c>
      <c r="F315" s="49" t="n">
        <v>2</v>
      </c>
      <c r="G315" s="49" t="n">
        <v>2</v>
      </c>
      <c r="H315" s="79">
        <f>F331/G331</f>
        <v/>
      </c>
      <c r="I315" s="49">
        <f>IF(H331&gt;=E331,"Yes","No")</f>
        <v/>
      </c>
    </row>
    <row r="316" ht="15" customHeight="1" s="50">
      <c r="A316" s="78" t="n">
        <v>46266</v>
      </c>
      <c r="B316" s="49" t="inlineStr">
        <is>
          <t>Aleger Studio</t>
        </is>
      </c>
      <c r="C316" s="49" t="inlineStr">
        <is>
          <t>Order Cut Off</t>
        </is>
      </c>
      <c r="E316" s="79" t="n">
        <v>0.95</v>
      </c>
      <c r="F316" s="49" t="n">
        <v>6</v>
      </c>
      <c r="G316" s="49" t="n">
        <v>6</v>
      </c>
      <c r="H316" s="79">
        <f>F332/G332</f>
        <v/>
      </c>
      <c r="I316" s="49">
        <f>IF(H332&gt;=E332,"Yes","No")</f>
        <v/>
      </c>
    </row>
    <row r="317" ht="15" customHeight="1" s="50">
      <c r="A317" s="78" t="n">
        <v>46266</v>
      </c>
      <c r="B317" s="49" t="inlineStr">
        <is>
          <t>Baking Tech</t>
        </is>
      </c>
      <c r="C317" s="49" t="inlineStr">
        <is>
          <t>Order Cut Off</t>
        </is>
      </c>
      <c r="E317" s="79" t="n">
        <v>0.95</v>
      </c>
      <c r="F317" s="49" t="n">
        <v>2</v>
      </c>
      <c r="G317" s="49" t="n">
        <v>2</v>
      </c>
      <c r="H317" s="79">
        <f>F333/G333</f>
        <v/>
      </c>
      <c r="I317" s="49">
        <f>IF(H333&gt;=E333,"Yes","No")</f>
        <v/>
      </c>
    </row>
    <row r="318" ht="15" customHeight="1" s="50">
      <c r="A318" s="78" t="n">
        <v>46266</v>
      </c>
      <c r="B318" s="49" t="inlineStr">
        <is>
          <t>Coromandel Mountains Company Limited</t>
        </is>
      </c>
      <c r="C318" s="49" t="inlineStr">
        <is>
          <t>Order Cut Off</t>
        </is>
      </c>
      <c r="E318" s="79" t="n">
        <v>0.95</v>
      </c>
      <c r="F318" s="49" t="n">
        <v>66</v>
      </c>
      <c r="G318" s="49" t="n">
        <v>66</v>
      </c>
      <c r="H318" s="79">
        <f>F334/G334</f>
        <v/>
      </c>
      <c r="I318" s="49">
        <f>IF(H334&gt;=E334,"Yes","No")</f>
        <v/>
      </c>
    </row>
    <row r="319" ht="15" customHeight="1" s="50">
      <c r="A319" s="78" t="n">
        <v>46266</v>
      </c>
      <c r="B319" s="49" t="inlineStr">
        <is>
          <t>EcoPallets</t>
        </is>
      </c>
      <c r="C319" s="49" t="inlineStr">
        <is>
          <t>Order Cut Off</t>
        </is>
      </c>
      <c r="E319" s="79" t="n">
        <v>0.95</v>
      </c>
      <c r="F319" s="49" t="n">
        <v>11</v>
      </c>
      <c r="G319" s="49" t="n">
        <v>15</v>
      </c>
      <c r="H319" s="79">
        <f>F335/G335</f>
        <v/>
      </c>
      <c r="I319" s="49">
        <f>IF(H335&gt;=E335,"Yes","No")</f>
        <v/>
      </c>
      <c r="J319" s="49" t="inlineStr">
        <is>
          <t>Below target - investigate root cause and add to next month's action plan</t>
        </is>
      </c>
    </row>
    <row r="320" ht="15" customHeight="1" s="50">
      <c r="A320" s="78" t="n">
        <v>46266</v>
      </c>
      <c r="B320" s="49" t="inlineStr">
        <is>
          <t>Flo &amp; Frankie</t>
        </is>
      </c>
      <c r="C320" s="49" t="inlineStr">
        <is>
          <t>Order Cut Off</t>
        </is>
      </c>
      <c r="E320" s="79" t="n">
        <v>0.95</v>
      </c>
      <c r="F320" s="49" t="n">
        <v>12</v>
      </c>
      <c r="G320" s="49" t="n">
        <v>12</v>
      </c>
      <c r="H320" s="79">
        <f>F336/G336</f>
        <v/>
      </c>
      <c r="I320" s="49">
        <f>IF(H336&gt;=E336,"Yes","No")</f>
        <v/>
      </c>
    </row>
    <row r="321" ht="15" customHeight="1" s="50">
      <c r="A321" s="78" t="n">
        <v>46266</v>
      </c>
      <c r="B321" s="49" t="inlineStr">
        <is>
          <t>Gym Equip</t>
        </is>
      </c>
      <c r="C321" s="49" t="inlineStr">
        <is>
          <t>Order Cut Off</t>
        </is>
      </c>
      <c r="E321" s="79" t="n">
        <v>0.95</v>
      </c>
      <c r="F321" s="49" t="n">
        <v>14</v>
      </c>
      <c r="G321" s="49" t="n">
        <v>16</v>
      </c>
      <c r="H321" s="79">
        <f>F337/G337</f>
        <v/>
      </c>
      <c r="I321" s="49">
        <f>IF(H337&gt;=E337,"Yes","No")</f>
        <v/>
      </c>
      <c r="J321" s="49" t="inlineStr">
        <is>
          <t>Below target - investigate root cause and add to next month's action plan</t>
        </is>
      </c>
    </row>
    <row r="322" ht="15" customHeight="1" s="50">
      <c r="A322" s="78" t="n">
        <v>46266</v>
      </c>
      <c r="B322" s="49" t="inlineStr">
        <is>
          <t>Jock Freight - SECA</t>
        </is>
      </c>
      <c r="C322" s="49" t="inlineStr">
        <is>
          <t>Order Cut Off</t>
        </is>
      </c>
      <c r="E322" s="79" t="n">
        <v>0.95</v>
      </c>
      <c r="F322" s="49" t="n">
        <v>11</v>
      </c>
      <c r="G322" s="49" t="n">
        <v>12</v>
      </c>
      <c r="H322" s="79">
        <f>F338/G338</f>
        <v/>
      </c>
      <c r="I322" s="49">
        <f>IF(H338&gt;=E338,"Yes","No")</f>
        <v/>
      </c>
      <c r="J322" s="49" t="inlineStr">
        <is>
          <t>Below target - investigate root cause and add to next month's action plan</t>
        </is>
      </c>
    </row>
    <row r="323" ht="15" customHeight="1" s="50">
      <c r="A323" s="78" t="n">
        <v>46266</v>
      </c>
      <c r="B323" s="49" t="inlineStr">
        <is>
          <t>Logwin - Sikla</t>
        </is>
      </c>
      <c r="C323" s="49" t="inlineStr">
        <is>
          <t>Order Cut Off</t>
        </is>
      </c>
      <c r="E323" s="79" t="n">
        <v>0.95</v>
      </c>
      <c r="F323" s="49" t="n">
        <v>9</v>
      </c>
      <c r="G323" s="49" t="n">
        <v>9</v>
      </c>
      <c r="H323" s="79">
        <f>F339/G339</f>
        <v/>
      </c>
      <c r="I323" s="49">
        <f>IF(H339&gt;=E339,"Yes","No")</f>
        <v/>
      </c>
    </row>
    <row r="324" ht="15" customHeight="1" s="50">
      <c r="A324" s="78" t="n">
        <v>46266</v>
      </c>
      <c r="B324" s="49" t="inlineStr">
        <is>
          <t>Made Group NZ</t>
        </is>
      </c>
      <c r="C324" s="49" t="inlineStr">
        <is>
          <t>Order Cut Off</t>
        </is>
      </c>
      <c r="E324" s="79" t="n">
        <v>0.95</v>
      </c>
      <c r="F324" s="49" t="n">
        <v>4</v>
      </c>
      <c r="G324" s="49" t="n">
        <v>4</v>
      </c>
      <c r="H324" s="79">
        <f>F340/G340</f>
        <v/>
      </c>
      <c r="I324" s="49">
        <f>IF(H340&gt;=E340,"Yes","No")</f>
        <v/>
      </c>
    </row>
    <row r="325" ht="15" customHeight="1" s="50">
      <c r="A325" s="78" t="n">
        <v>46266</v>
      </c>
      <c r="B325" s="49" t="inlineStr">
        <is>
          <t>May Eleven NZ</t>
        </is>
      </c>
      <c r="C325" s="49" t="inlineStr">
        <is>
          <t>Order Cut Off</t>
        </is>
      </c>
      <c r="E325" s="79" t="n">
        <v>0.95</v>
      </c>
      <c r="F325" s="49" t="n">
        <v>1</v>
      </c>
      <c r="G325" s="49" t="n">
        <v>1</v>
      </c>
      <c r="H325" s="79">
        <f>F341/G341</f>
        <v/>
      </c>
      <c r="I325" s="49">
        <f>IF(H341&gt;=E341,"Yes","No")</f>
        <v/>
      </c>
    </row>
    <row r="326" ht="15" customHeight="1" s="50">
      <c r="A326" s="78" t="n">
        <v>46266</v>
      </c>
      <c r="B326" s="49" t="inlineStr">
        <is>
          <t>Oceanbridge</t>
        </is>
      </c>
      <c r="C326" s="49" t="inlineStr">
        <is>
          <t>Order Cut Off</t>
        </is>
      </c>
      <c r="E326" s="79" t="n">
        <v>0.95</v>
      </c>
      <c r="F326" s="49" t="n">
        <v>2</v>
      </c>
      <c r="G326" s="49" t="n">
        <v>2</v>
      </c>
      <c r="H326" s="79">
        <f>F342/G342</f>
        <v/>
      </c>
      <c r="I326" s="49">
        <f>IF(H342&gt;=E342,"Yes","No")</f>
        <v/>
      </c>
    </row>
    <row r="327" ht="15" customHeight="1" s="50">
      <c r="A327" s="78" t="n">
        <v>46266</v>
      </c>
      <c r="B327" s="49" t="inlineStr">
        <is>
          <t>Oricom</t>
        </is>
      </c>
      <c r="C327" s="49" t="inlineStr">
        <is>
          <t>Order Cut Off</t>
        </is>
      </c>
      <c r="E327" s="79" t="n">
        <v>0.95</v>
      </c>
      <c r="F327" s="49" t="n">
        <v>143</v>
      </c>
      <c r="G327" s="49" t="n">
        <v>144</v>
      </c>
      <c r="H327" s="79">
        <f>F343/G343</f>
        <v/>
      </c>
      <c r="I327" s="49">
        <f>IF(H343&gt;=E343,"Yes","No")</f>
        <v/>
      </c>
    </row>
    <row r="328" ht="15" customHeight="1" s="50">
      <c r="A328" s="78" t="n">
        <v>46266</v>
      </c>
      <c r="B328" s="49" t="inlineStr">
        <is>
          <t>Purify Me</t>
        </is>
      </c>
      <c r="C328" s="49" t="inlineStr">
        <is>
          <t>Order Cut Off</t>
        </is>
      </c>
      <c r="E328" s="79" t="n">
        <v>0.95</v>
      </c>
      <c r="F328" s="49" t="n">
        <v>99</v>
      </c>
      <c r="G328" s="49" t="n">
        <v>100</v>
      </c>
      <c r="H328" s="79">
        <f>F344/G344</f>
        <v/>
      </c>
      <c r="I328" s="49">
        <f>IF(H344&gt;=E344,"Yes","No")</f>
        <v/>
      </c>
    </row>
    <row r="329" ht="15" customHeight="1" s="50">
      <c r="A329" s="78" t="n">
        <v>46266</v>
      </c>
      <c r="B329" s="49" t="inlineStr">
        <is>
          <t>Salt Shark</t>
        </is>
      </c>
      <c r="C329" s="49" t="inlineStr">
        <is>
          <t>Order Cut Off</t>
        </is>
      </c>
      <c r="E329" s="79" t="n">
        <v>0.95</v>
      </c>
      <c r="F329" s="49" t="n">
        <v>56</v>
      </c>
      <c r="G329" s="49" t="n">
        <v>57</v>
      </c>
      <c r="H329" s="79">
        <f>F345/G345</f>
        <v/>
      </c>
      <c r="I329" s="49">
        <f>IF(H345&gt;=E345,"Yes","No")</f>
        <v/>
      </c>
    </row>
    <row r="330" ht="15" customHeight="1" s="50">
      <c r="A330" s="78" t="n">
        <v>46266</v>
      </c>
      <c r="B330" s="49" t="inlineStr">
        <is>
          <t>Samsung Batteries CP</t>
        </is>
      </c>
      <c r="C330" s="49" t="inlineStr">
        <is>
          <t>Order Cut Off</t>
        </is>
      </c>
      <c r="E330" s="79" t="n">
        <v>0.95</v>
      </c>
      <c r="F330" s="49" t="n">
        <v>3</v>
      </c>
      <c r="G330" s="49" t="n">
        <v>4</v>
      </c>
      <c r="H330" s="79">
        <f>F346/G346</f>
        <v/>
      </c>
      <c r="I330" s="49">
        <f>IF(H346&gt;=E346,"Yes","No")</f>
        <v/>
      </c>
      <c r="J330" s="49" t="inlineStr">
        <is>
          <t>Below target - investigate root cause and add to next month's action plan</t>
        </is>
      </c>
    </row>
    <row r="331" ht="15" customHeight="1" s="50">
      <c r="A331" s="78" t="n">
        <v>46266</v>
      </c>
      <c r="B331" s="49" t="inlineStr">
        <is>
          <t>Simply Clean</t>
        </is>
      </c>
      <c r="C331" s="49" t="inlineStr">
        <is>
          <t>Order Cut Off</t>
        </is>
      </c>
      <c r="E331" s="79" t="n">
        <v>0.95</v>
      </c>
      <c r="F331" s="49" t="n">
        <v>170</v>
      </c>
      <c r="G331" s="49" t="n">
        <v>180</v>
      </c>
      <c r="H331" s="79">
        <f>F347/G347</f>
        <v/>
      </c>
      <c r="I331" s="49">
        <f>IF(H347&gt;=E347,"Yes","No")</f>
        <v/>
      </c>
      <c r="J331" s="49" t="inlineStr">
        <is>
          <t>Below target - investigate root cause and add to next month's action plan</t>
        </is>
      </c>
    </row>
    <row r="332" ht="15" customHeight="1" s="50">
      <c r="A332" s="78" t="n">
        <v>46266</v>
      </c>
      <c r="B332" s="49" t="inlineStr">
        <is>
          <t>Stryx</t>
        </is>
      </c>
      <c r="C332" s="49" t="inlineStr">
        <is>
          <t>Order Cut Off</t>
        </is>
      </c>
      <c r="E332" s="79" t="n">
        <v>0.95</v>
      </c>
      <c r="F332" s="49" t="n">
        <v>34</v>
      </c>
      <c r="G332" s="49" t="n">
        <v>37</v>
      </c>
      <c r="H332" s="79">
        <f>F348/G348</f>
        <v/>
      </c>
      <c r="I332" s="49">
        <f>IF(H348&gt;=E348,"Yes","No")</f>
        <v/>
      </c>
      <c r="J332" s="49" t="inlineStr">
        <is>
          <t>Below target - investigate root cause and add to next month's action plan</t>
        </is>
      </c>
    </row>
    <row r="333" ht="15" customHeight="1" s="50">
      <c r="A333" s="78" t="n">
        <v>46266</v>
      </c>
      <c r="B333" s="49" t="inlineStr">
        <is>
          <t>Vixxen</t>
        </is>
      </c>
      <c r="C333" s="49" t="inlineStr">
        <is>
          <t>Order Cut Off</t>
        </is>
      </c>
      <c r="E333" s="79" t="n">
        <v>0.95</v>
      </c>
      <c r="F333" s="49" t="n">
        <v>424</v>
      </c>
      <c r="G333" s="49" t="n">
        <v>426</v>
      </c>
      <c r="H333" s="79">
        <f>F349/G349</f>
        <v/>
      </c>
      <c r="I333" s="49">
        <f>IF(H349&gt;=E349,"Yes","No")</f>
        <v/>
      </c>
    </row>
    <row r="334" ht="15" customHeight="1" s="50">
      <c r="A334" s="78" t="n">
        <v>46266</v>
      </c>
      <c r="B334" s="49" t="inlineStr">
        <is>
          <t>Aleger Studio</t>
        </is>
      </c>
      <c r="C334" s="49" t="inlineStr">
        <is>
          <t>Order Accuracy by Unit</t>
        </is>
      </c>
      <c r="E334" s="79" t="n">
        <v>0.995</v>
      </c>
      <c r="F334" s="49" t="n">
        <v>8</v>
      </c>
      <c r="G334" s="49" t="n">
        <v>8</v>
      </c>
      <c r="H334" s="79">
        <f>F350/G350</f>
        <v/>
      </c>
      <c r="I334" s="49">
        <f>IF(H350&gt;=E350,"Yes","No")</f>
        <v/>
      </c>
    </row>
    <row r="335" ht="15" customHeight="1" s="50">
      <c r="A335" s="78" t="n">
        <v>46266</v>
      </c>
      <c r="B335" s="49" t="inlineStr">
        <is>
          <t>Baking Tech</t>
        </is>
      </c>
      <c r="C335" s="49" t="inlineStr">
        <is>
          <t>Order Accuracy by Unit</t>
        </is>
      </c>
      <c r="E335" s="79" t="n">
        <v>0.995</v>
      </c>
      <c r="F335" s="49" t="n">
        <v>1</v>
      </c>
      <c r="G335" s="49" t="n">
        <v>1</v>
      </c>
      <c r="H335" s="79">
        <f>F351/G351</f>
        <v/>
      </c>
      <c r="I335" s="49">
        <f>IF(H351&gt;=E351,"Yes","No")</f>
        <v/>
      </c>
    </row>
    <row r="336" ht="15" customHeight="1" s="50">
      <c r="A336" s="78" t="n">
        <v>46266</v>
      </c>
      <c r="B336" s="49" t="inlineStr">
        <is>
          <t>Coromandel Mountains Company Limited</t>
        </is>
      </c>
      <c r="C336" s="49" t="inlineStr">
        <is>
          <t>Order Accuracy by Unit</t>
        </is>
      </c>
      <c r="E336" s="79" t="n">
        <v>0.995</v>
      </c>
      <c r="F336" s="49" t="n">
        <v>715</v>
      </c>
      <c r="G336" s="49" t="n">
        <v>715</v>
      </c>
      <c r="H336" s="79">
        <f>F352/G352</f>
        <v/>
      </c>
      <c r="I336" s="49">
        <f>IF(H352&gt;=E352,"Yes","No")</f>
        <v/>
      </c>
    </row>
    <row r="337" ht="15" customHeight="1" s="50">
      <c r="A337" s="78" t="n">
        <v>46266</v>
      </c>
      <c r="B337" s="49" t="inlineStr">
        <is>
          <t>EcoPallets</t>
        </is>
      </c>
      <c r="C337" s="49" t="inlineStr">
        <is>
          <t>Order Accuracy by Unit</t>
        </is>
      </c>
      <c r="E337" s="79" t="n">
        <v>0.995</v>
      </c>
      <c r="F337" s="49" t="n">
        <v>484</v>
      </c>
      <c r="G337" s="49" t="n">
        <v>484</v>
      </c>
      <c r="H337" s="79">
        <f>F353/G353</f>
        <v/>
      </c>
      <c r="I337" s="49">
        <f>IF(H353&gt;=E353,"Yes","No")</f>
        <v/>
      </c>
    </row>
    <row r="338" ht="15" customHeight="1" s="50">
      <c r="A338" s="78" t="n">
        <v>46266</v>
      </c>
      <c r="B338" s="49" t="inlineStr">
        <is>
          <t>Flo &amp; Frankie</t>
        </is>
      </c>
      <c r="C338" s="49" t="inlineStr">
        <is>
          <t>Order Accuracy by Unit</t>
        </is>
      </c>
      <c r="E338" s="79" t="n">
        <v>0.995</v>
      </c>
      <c r="F338" s="49" t="n">
        <v>633</v>
      </c>
      <c r="G338" s="49" t="n">
        <v>633</v>
      </c>
      <c r="H338" s="79">
        <f>F354/G354</f>
        <v/>
      </c>
      <c r="I338" s="49">
        <f>IF(H354&gt;=E354,"Yes","No")</f>
        <v/>
      </c>
    </row>
    <row r="339" ht="15" customHeight="1" s="50">
      <c r="A339" s="78" t="n">
        <v>46266</v>
      </c>
      <c r="B339" s="49" t="inlineStr">
        <is>
          <t>Gym Equip</t>
        </is>
      </c>
      <c r="C339" s="49" t="inlineStr">
        <is>
          <t>Order Accuracy by Unit</t>
        </is>
      </c>
      <c r="E339" s="79" t="n">
        <v>0.995</v>
      </c>
      <c r="F339" s="49" t="n">
        <v>384</v>
      </c>
      <c r="G339" s="49" t="n">
        <v>384</v>
      </c>
      <c r="H339" s="79">
        <f>F355/G355</f>
        <v/>
      </c>
      <c r="I339" s="49">
        <f>IF(H355&gt;=E355,"Yes","No")</f>
        <v/>
      </c>
    </row>
    <row r="340" ht="15" customHeight="1" s="50">
      <c r="A340" s="78" t="n">
        <v>46266</v>
      </c>
      <c r="B340" s="49" t="inlineStr">
        <is>
          <t>Interior Images</t>
        </is>
      </c>
      <c r="C340" s="49" t="inlineStr">
        <is>
          <t>Order Accuracy by Unit</t>
        </is>
      </c>
      <c r="E340" s="79" t="n">
        <v>0.995</v>
      </c>
      <c r="F340" s="49" t="n">
        <v>14</v>
      </c>
      <c r="G340" s="49" t="n">
        <v>14</v>
      </c>
      <c r="H340" s="79">
        <f>F356/G356</f>
        <v/>
      </c>
      <c r="I340" s="49">
        <f>IF(H356&gt;=E356,"Yes","No")</f>
        <v/>
      </c>
    </row>
    <row r="341" ht="15" customHeight="1" s="50">
      <c r="A341" s="78" t="n">
        <v>46266</v>
      </c>
      <c r="B341" s="49" t="inlineStr">
        <is>
          <t>Jock Freight - SECA</t>
        </is>
      </c>
      <c r="C341" s="49" t="inlineStr">
        <is>
          <t>Order Accuracy by Unit</t>
        </is>
      </c>
      <c r="E341" s="79" t="n">
        <v>0.995</v>
      </c>
      <c r="F341" s="49" t="n">
        <v>972</v>
      </c>
      <c r="G341" s="49" t="n">
        <v>972</v>
      </c>
      <c r="H341" s="79">
        <f>F357/G357</f>
        <v/>
      </c>
      <c r="I341" s="49">
        <f>IF(H357&gt;=E357,"Yes","No")</f>
        <v/>
      </c>
    </row>
    <row r="342" ht="15" customHeight="1" s="50">
      <c r="A342" s="78" t="n">
        <v>46266</v>
      </c>
      <c r="B342" s="49" t="inlineStr">
        <is>
          <t>Logwin - Sikla</t>
        </is>
      </c>
      <c r="C342" s="49" t="inlineStr">
        <is>
          <t>Order Accuracy by Unit</t>
        </is>
      </c>
      <c r="E342" s="79" t="n">
        <v>0.995</v>
      </c>
      <c r="F342" s="49" t="n">
        <v>5163</v>
      </c>
      <c r="G342" s="49" t="n">
        <v>5163</v>
      </c>
      <c r="H342" s="79">
        <f>F358/G358</f>
        <v/>
      </c>
      <c r="I342" s="49">
        <f>IF(H358&gt;=E358,"Yes","No")</f>
        <v/>
      </c>
    </row>
    <row r="343" ht="15" customHeight="1" s="50">
      <c r="A343" s="78" t="n">
        <v>46266</v>
      </c>
      <c r="B343" s="49" t="inlineStr">
        <is>
          <t>Made Group NZ</t>
        </is>
      </c>
      <c r="C343" s="49" t="inlineStr">
        <is>
          <t>Order Accuracy by Unit</t>
        </is>
      </c>
      <c r="E343" s="79" t="n">
        <v>0.995</v>
      </c>
      <c r="F343" s="49" t="n">
        <v>14190</v>
      </c>
      <c r="G343" s="49" t="n">
        <v>14190</v>
      </c>
      <c r="H343" s="79">
        <f>F359/G359</f>
        <v/>
      </c>
      <c r="I343" s="49">
        <f>IF(H359&gt;=E359,"Yes","No")</f>
        <v/>
      </c>
    </row>
    <row r="344" ht="15" customHeight="1" s="50">
      <c r="A344" s="78" t="n">
        <v>46266</v>
      </c>
      <c r="B344" s="49" t="inlineStr">
        <is>
          <t>May Eleven NZ</t>
        </is>
      </c>
      <c r="C344" s="49" t="inlineStr">
        <is>
          <t>Order Accuracy by Unit</t>
        </is>
      </c>
      <c r="E344" s="79" t="n">
        <v>0.995</v>
      </c>
      <c r="F344" s="49" t="n">
        <v>1500</v>
      </c>
      <c r="G344" s="49" t="n">
        <v>1500</v>
      </c>
      <c r="H344" s="79">
        <f>F360/G360</f>
        <v/>
      </c>
      <c r="I344" s="49">
        <f>IF(H360&gt;=E360,"Yes","No")</f>
        <v/>
      </c>
    </row>
    <row r="345" ht="15" customHeight="1" s="50">
      <c r="A345" s="78" t="n">
        <v>46266</v>
      </c>
      <c r="B345" s="49" t="inlineStr">
        <is>
          <t>Oceanbridge</t>
        </is>
      </c>
      <c r="C345" s="49" t="inlineStr">
        <is>
          <t>Order Accuracy by Unit</t>
        </is>
      </c>
      <c r="E345" s="79" t="n">
        <v>0.995</v>
      </c>
      <c r="F345" s="49" t="n">
        <v>55</v>
      </c>
      <c r="G345" s="49" t="n">
        <v>55</v>
      </c>
      <c r="H345" s="79">
        <f>F361/G361</f>
        <v/>
      </c>
      <c r="I345" s="49">
        <f>IF(H361&gt;=E361,"Yes","No")</f>
        <v/>
      </c>
    </row>
    <row r="346" ht="15" customHeight="1" s="50">
      <c r="A346" s="78" t="n">
        <v>46266</v>
      </c>
      <c r="B346" s="49" t="inlineStr">
        <is>
          <t>Oricom</t>
        </is>
      </c>
      <c r="C346" s="49" t="inlineStr">
        <is>
          <t>Order Accuracy by Unit</t>
        </is>
      </c>
      <c r="E346" s="79" t="n">
        <v>0.995</v>
      </c>
      <c r="F346" s="49" t="n">
        <v>1075</v>
      </c>
      <c r="G346" s="49" t="n">
        <v>1075</v>
      </c>
      <c r="H346" s="79">
        <f>F362/G362</f>
        <v/>
      </c>
      <c r="I346" s="49">
        <f>IF(H362&gt;=E362,"Yes","No")</f>
        <v/>
      </c>
    </row>
    <row r="347" ht="15" customHeight="1" s="50">
      <c r="A347" s="78" t="n">
        <v>46266</v>
      </c>
      <c r="B347" s="49" t="inlineStr">
        <is>
          <t>Purify Me</t>
        </is>
      </c>
      <c r="C347" s="49" t="inlineStr">
        <is>
          <t>Order Accuracy by Unit</t>
        </is>
      </c>
      <c r="E347" s="79" t="n">
        <v>0.995</v>
      </c>
      <c r="F347" s="49" t="n">
        <v>212</v>
      </c>
      <c r="G347" s="49" t="n">
        <v>212</v>
      </c>
      <c r="H347" s="79">
        <f>F363/G363</f>
        <v/>
      </c>
      <c r="I347" s="49">
        <f>IF(H363&gt;=E363,"Yes","No")</f>
        <v/>
      </c>
    </row>
    <row r="348" ht="15" customHeight="1" s="50">
      <c r="A348" s="78" t="n">
        <v>46266</v>
      </c>
      <c r="B348" s="49" t="inlineStr">
        <is>
          <t>Salt Shark</t>
        </is>
      </c>
      <c r="C348" s="49" t="inlineStr">
        <is>
          <t>Order Accuracy by Unit</t>
        </is>
      </c>
      <c r="E348" s="79" t="n">
        <v>0.995</v>
      </c>
      <c r="F348" s="49" t="n">
        <v>336</v>
      </c>
      <c r="G348" s="49" t="n">
        <v>336</v>
      </c>
      <c r="H348" s="79">
        <f>F364/G364</f>
        <v/>
      </c>
      <c r="I348" s="49">
        <f>IF(H364&gt;=E364,"Yes","No")</f>
        <v/>
      </c>
    </row>
    <row r="349" ht="15" customHeight="1" s="50">
      <c r="A349" s="78" t="n">
        <v>46266</v>
      </c>
      <c r="B349" s="49" t="inlineStr">
        <is>
          <t>Samsung Batteries CP</t>
        </is>
      </c>
      <c r="C349" s="49" t="inlineStr">
        <is>
          <t>Order Accuracy by Unit</t>
        </is>
      </c>
      <c r="E349" s="79" t="n">
        <v>0.995</v>
      </c>
      <c r="F349" s="49" t="n">
        <v>1329</v>
      </c>
      <c r="G349" s="49" t="n">
        <v>1329</v>
      </c>
      <c r="H349" s="79">
        <f>F365/G365</f>
        <v/>
      </c>
      <c r="I349" s="49">
        <f>IF(H365&gt;=E365,"Yes","No")</f>
        <v/>
      </c>
    </row>
    <row r="350" ht="15" customHeight="1" s="50">
      <c r="A350" s="78" t="n">
        <v>46266</v>
      </c>
      <c r="B350" s="49" t="inlineStr">
        <is>
          <t>Simply Clean</t>
        </is>
      </c>
      <c r="C350" s="49" t="inlineStr">
        <is>
          <t>Order Accuracy by Unit</t>
        </is>
      </c>
      <c r="E350" s="79" t="n">
        <v>0.995</v>
      </c>
      <c r="F350" s="49" t="n">
        <v>9658</v>
      </c>
      <c r="G350" s="49" t="n">
        <v>9658</v>
      </c>
      <c r="H350" s="79">
        <f>F366/G366</f>
        <v/>
      </c>
      <c r="I350" s="49">
        <f>IF(H366&gt;=E366,"Yes","No")</f>
        <v/>
      </c>
    </row>
    <row r="351" ht="15" customHeight="1" s="50">
      <c r="A351" s="78" t="n">
        <v>46266</v>
      </c>
      <c r="B351" s="49" t="inlineStr">
        <is>
          <t>Stryx</t>
        </is>
      </c>
      <c r="C351" s="49" t="inlineStr">
        <is>
          <t>Order Accuracy by Unit</t>
        </is>
      </c>
      <c r="E351" s="79" t="n">
        <v>0.995</v>
      </c>
      <c r="F351" s="49" t="n">
        <v>56</v>
      </c>
      <c r="G351" s="49" t="n">
        <v>56</v>
      </c>
      <c r="H351" s="79">
        <f>F367/G367</f>
        <v/>
      </c>
      <c r="I351" s="49">
        <f>IF(H367&gt;=E367,"Yes","No")</f>
        <v/>
      </c>
    </row>
    <row r="352">
      <c r="A352" s="78" t="n">
        <v>46266</v>
      </c>
      <c r="B352" s="49" t="inlineStr">
        <is>
          <t>Vixxen</t>
        </is>
      </c>
      <c r="C352" s="49" t="inlineStr">
        <is>
          <t>Order Accuracy by Unit</t>
        </is>
      </c>
      <c r="E352" s="79" t="n">
        <v>0.995</v>
      </c>
      <c r="F352" s="49" t="n">
        <v>10722</v>
      </c>
      <c r="G352" s="49" t="n">
        <v>10741</v>
      </c>
      <c r="H352" s="79">
        <f>F368/G368</f>
        <v/>
      </c>
      <c r="I352" s="49">
        <f>IF(H368&gt;=E368,"Yes","No")</f>
        <v/>
      </c>
    </row>
    <row r="353">
      <c r="A353" s="90" t="n">
        <v>46266</v>
      </c>
      <c r="B353" t="inlineStr">
        <is>
          <t>Aleger Studio</t>
        </is>
      </c>
      <c r="C353" t="inlineStr">
        <is>
          <t>Freight DIFOT</t>
        </is>
      </c>
      <c r="E353" t="n">
        <v>0.95</v>
      </c>
      <c r="F353" t="n">
        <v>6</v>
      </c>
      <c r="G353" t="n">
        <v>6</v>
      </c>
      <c r="H353">
        <f>F353/G353</f>
        <v/>
      </c>
      <c r="I353">
        <f>IF(H353&gt;=E353,"Yes","No")</f>
        <v/>
      </c>
    </row>
    <row r="354">
      <c r="A354" s="90" t="n">
        <v>46266</v>
      </c>
      <c r="B354" t="inlineStr">
        <is>
          <t>Coromandel Mountains Company Limited</t>
        </is>
      </c>
      <c r="C354" t="inlineStr">
        <is>
          <t>Freight DIFOT</t>
        </is>
      </c>
      <c r="E354" t="n">
        <v>0.95</v>
      </c>
      <c r="F354" t="n">
        <v>36</v>
      </c>
      <c r="G354" t="n">
        <v>38</v>
      </c>
      <c r="H354">
        <f>F354/G354</f>
        <v/>
      </c>
      <c r="I354">
        <f>IF(H354&gt;=E354,"Yes","No")</f>
        <v/>
      </c>
      <c r="J354" t="inlineStr">
        <is>
          <t>Below target - investigate root cause and add to next month's action plan</t>
        </is>
      </c>
    </row>
    <row r="355">
      <c r="A355" s="90" t="n">
        <v>46266</v>
      </c>
      <c r="B355" t="inlineStr">
        <is>
          <t>EcoPallets</t>
        </is>
      </c>
      <c r="C355" t="inlineStr">
        <is>
          <t>Freight DIFOT</t>
        </is>
      </c>
      <c r="E355" t="n">
        <v>0.95</v>
      </c>
      <c r="F355" t="n">
        <v>6</v>
      </c>
      <c r="G355" t="n">
        <v>7</v>
      </c>
      <c r="H355">
        <f>F355/G355</f>
        <v/>
      </c>
      <c r="I355">
        <f>IF(H355&gt;=E355,"Yes","No")</f>
        <v/>
      </c>
      <c r="J355" t="inlineStr">
        <is>
          <t>Below target - investigate root cause and add to next month's action plan</t>
        </is>
      </c>
    </row>
    <row r="356">
      <c r="A356" s="90" t="n">
        <v>46266</v>
      </c>
      <c r="B356" t="inlineStr">
        <is>
          <t>Flo &amp; Frankie</t>
        </is>
      </c>
      <c r="C356" t="inlineStr">
        <is>
          <t>Freight DIFOT</t>
        </is>
      </c>
      <c r="E356" t="n">
        <v>0.95</v>
      </c>
      <c r="F356" t="n">
        <v>11</v>
      </c>
      <c r="G356" t="n">
        <v>13</v>
      </c>
      <c r="H356">
        <f>F356/G356</f>
        <v/>
      </c>
      <c r="I356">
        <f>IF(H356&gt;=E356,"Yes","No")</f>
        <v/>
      </c>
      <c r="J356" t="inlineStr">
        <is>
          <t>Below target - investigate root cause and add to next month's action plan</t>
        </is>
      </c>
    </row>
    <row r="357">
      <c r="A357" s="90" t="n">
        <v>46266</v>
      </c>
      <c r="B357" t="inlineStr">
        <is>
          <t>Gym Equip</t>
        </is>
      </c>
      <c r="C357" t="inlineStr">
        <is>
          <t>Freight DIFOT</t>
        </is>
      </c>
      <c r="E357" t="n">
        <v>0.95</v>
      </c>
      <c r="F357" t="n">
        <v>17</v>
      </c>
      <c r="G357" t="n">
        <v>19</v>
      </c>
      <c r="H357">
        <f>F357/G357</f>
        <v/>
      </c>
      <c r="I357">
        <f>IF(H357&gt;=E357,"Yes","No")</f>
        <v/>
      </c>
      <c r="J357" t="inlineStr">
        <is>
          <t>Below target - investigate root cause and add to next month's action plan</t>
        </is>
      </c>
    </row>
    <row r="358">
      <c r="A358" s="90" t="n">
        <v>46266</v>
      </c>
      <c r="B358" t="inlineStr">
        <is>
          <t>Interior Images</t>
        </is>
      </c>
      <c r="C358" t="inlineStr">
        <is>
          <t>Freight DIFOT</t>
        </is>
      </c>
      <c r="E358" t="n">
        <v>0.95</v>
      </c>
      <c r="F358" t="n">
        <v>1</v>
      </c>
      <c r="G358" t="n">
        <v>1</v>
      </c>
      <c r="H358">
        <f>F358/G358</f>
        <v/>
      </c>
      <c r="I358">
        <f>IF(H358&gt;=E358,"Yes","No")</f>
        <v/>
      </c>
    </row>
    <row r="359">
      <c r="A359" s="90" t="n">
        <v>46266</v>
      </c>
      <c r="B359" t="inlineStr">
        <is>
          <t>Jock Freight - SECA</t>
        </is>
      </c>
      <c r="C359" t="inlineStr">
        <is>
          <t>Freight DIFOT</t>
        </is>
      </c>
      <c r="E359" t="n">
        <v>0.95</v>
      </c>
      <c r="F359" t="n">
        <v>8</v>
      </c>
      <c r="G359" t="n">
        <v>9</v>
      </c>
      <c r="H359">
        <f>F359/G359</f>
        <v/>
      </c>
      <c r="I359">
        <f>IF(H359&gt;=E359,"Yes","No")</f>
        <v/>
      </c>
      <c r="J359" t="inlineStr">
        <is>
          <t>Below target - investigate root cause and add to next month's action plan</t>
        </is>
      </c>
    </row>
    <row r="360">
      <c r="A360" s="90" t="n">
        <v>46266</v>
      </c>
      <c r="B360" t="inlineStr">
        <is>
          <t>Logwin - Sikla</t>
        </is>
      </c>
      <c r="C360" t="inlineStr">
        <is>
          <t>Freight DIFOT</t>
        </is>
      </c>
      <c r="E360" t="n">
        <v>0.95</v>
      </c>
      <c r="F360" t="n">
        <v>6</v>
      </c>
      <c r="G360" t="n">
        <v>6</v>
      </c>
      <c r="H360">
        <f>F360/G360</f>
        <v/>
      </c>
      <c r="I360">
        <f>IF(H360&gt;=E360,"Yes","No")</f>
        <v/>
      </c>
    </row>
    <row r="361">
      <c r="A361" s="90" t="n">
        <v>46266</v>
      </c>
      <c r="B361" t="inlineStr">
        <is>
          <t>Made Group NZ</t>
        </is>
      </c>
      <c r="C361" t="inlineStr">
        <is>
          <t>Freight DIFOT</t>
        </is>
      </c>
      <c r="E361" t="n">
        <v>0.95</v>
      </c>
      <c r="F361" t="n">
        <v>4</v>
      </c>
      <c r="G361" t="n">
        <v>4</v>
      </c>
      <c r="H361">
        <f>F361/G361</f>
        <v/>
      </c>
      <c r="I361">
        <f>IF(H361&gt;=E361,"Yes","No")</f>
        <v/>
      </c>
    </row>
    <row r="362">
      <c r="A362" s="90" t="n">
        <v>46266</v>
      </c>
      <c r="B362" t="inlineStr">
        <is>
          <t>May Eleven NZ</t>
        </is>
      </c>
      <c r="C362" t="inlineStr">
        <is>
          <t>Freight DIFOT</t>
        </is>
      </c>
      <c r="E362" t="n">
        <v>0.95</v>
      </c>
      <c r="F362" t="n">
        <v>2</v>
      </c>
      <c r="G362" t="n">
        <v>2</v>
      </c>
      <c r="H362">
        <f>F362/G362</f>
        <v/>
      </c>
      <c r="I362">
        <f>IF(H362&gt;=E362,"Yes","No")</f>
        <v/>
      </c>
    </row>
    <row r="363">
      <c r="A363" s="90" t="n">
        <v>46266</v>
      </c>
      <c r="B363" t="inlineStr">
        <is>
          <t>Oricom</t>
        </is>
      </c>
      <c r="C363" t="inlineStr">
        <is>
          <t>Freight DIFOT</t>
        </is>
      </c>
      <c r="E363" t="n">
        <v>0.95</v>
      </c>
      <c r="F363" t="n">
        <v>84</v>
      </c>
      <c r="G363" t="n">
        <v>91</v>
      </c>
      <c r="H363">
        <f>F363/G363</f>
        <v/>
      </c>
      <c r="I363">
        <f>IF(H363&gt;=E363,"Yes","No")</f>
        <v/>
      </c>
      <c r="J363" t="inlineStr">
        <is>
          <t>Below target - investigate root cause and add to next month's action plan</t>
        </is>
      </c>
    </row>
    <row r="364">
      <c r="A364" s="90" t="n">
        <v>46266</v>
      </c>
      <c r="B364" t="inlineStr">
        <is>
          <t>Purify Me</t>
        </is>
      </c>
      <c r="C364" t="inlineStr">
        <is>
          <t>Freight DIFOT</t>
        </is>
      </c>
      <c r="E364" t="n">
        <v>0.95</v>
      </c>
      <c r="F364" t="n">
        <v>48</v>
      </c>
      <c r="G364" t="n">
        <v>53</v>
      </c>
      <c r="H364">
        <f>F364/G364</f>
        <v/>
      </c>
      <c r="I364">
        <f>IF(H364&gt;=E364,"Yes","No")</f>
        <v/>
      </c>
      <c r="J364" t="inlineStr">
        <is>
          <t>Below target - investigate root cause and add to next month's action plan</t>
        </is>
      </c>
    </row>
    <row r="365">
      <c r="A365" s="90" t="n">
        <v>46266</v>
      </c>
      <c r="B365" t="inlineStr">
        <is>
          <t>Salt Shark</t>
        </is>
      </c>
      <c r="C365" t="inlineStr">
        <is>
          <t>Freight DIFOT</t>
        </is>
      </c>
      <c r="E365" t="n">
        <v>0.95</v>
      </c>
      <c r="F365" t="n">
        <v>41</v>
      </c>
      <c r="G365" t="n">
        <v>43</v>
      </c>
      <c r="H365">
        <f>F365/G365</f>
        <v/>
      </c>
      <c r="I365">
        <f>IF(H365&gt;=E365,"Yes","No")</f>
        <v/>
      </c>
    </row>
    <row r="366">
      <c r="A366" s="90" t="n">
        <v>46266</v>
      </c>
      <c r="B366" t="inlineStr">
        <is>
          <t>Simply Clean</t>
        </is>
      </c>
      <c r="C366" t="inlineStr">
        <is>
          <t>Freight DIFOT</t>
        </is>
      </c>
      <c r="E366" t="n">
        <v>0.95</v>
      </c>
      <c r="F366" t="n">
        <v>87</v>
      </c>
      <c r="G366" t="n">
        <v>94</v>
      </c>
      <c r="H366">
        <f>F366/G366</f>
        <v/>
      </c>
      <c r="I366">
        <f>IF(H366&gt;=E366,"Yes","No")</f>
        <v/>
      </c>
      <c r="J366" t="inlineStr">
        <is>
          <t>Below target - investigate root cause and add to next month's action plan</t>
        </is>
      </c>
    </row>
    <row r="367">
      <c r="A367" s="90" t="n">
        <v>46266</v>
      </c>
      <c r="B367" t="inlineStr">
        <is>
          <t>Stryx</t>
        </is>
      </c>
      <c r="C367" t="inlineStr">
        <is>
          <t>Freight DIFOT</t>
        </is>
      </c>
      <c r="E367" t="n">
        <v>0.95</v>
      </c>
      <c r="F367" t="n">
        <v>20</v>
      </c>
      <c r="G367" t="n">
        <v>22</v>
      </c>
      <c r="H367">
        <f>F367/G367</f>
        <v/>
      </c>
      <c r="I367">
        <f>IF(H367&gt;=E367,"Yes","No")</f>
        <v/>
      </c>
      <c r="J367" t="inlineStr">
        <is>
          <t>Below target - investigate root cause and add to next month's action plan</t>
        </is>
      </c>
    </row>
    <row r="368">
      <c r="A368" s="90" t="n">
        <v>46266</v>
      </c>
      <c r="B368" t="inlineStr">
        <is>
          <t>Vixxen</t>
        </is>
      </c>
      <c r="C368" t="inlineStr">
        <is>
          <t>Freight DIFOT</t>
        </is>
      </c>
      <c r="E368" t="n">
        <v>0.95</v>
      </c>
      <c r="F368" t="n">
        <v>169</v>
      </c>
      <c r="G368" t="n">
        <v>185</v>
      </c>
      <c r="H368">
        <f>F368/G368</f>
        <v/>
      </c>
      <c r="I368">
        <f>IF(H368&gt;=E368,"Yes","No")</f>
        <v/>
      </c>
      <c r="J368"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5" ht="15" customHeight="1" s="50">
      <c r="A15" s="84" t="inlineStr">
        <is>
          <t>Deadline Rule must be either "Same day" or "Next business day (EOD)". Leave Effective To blank for an open-ended override. Overrides only make the deadline MORE lenient than the standard rule, never stricter.</t>
        </is>
      </c>
    </row>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36"/>
    <row r="37"/>
    <row r="38"/>
    <row r="39"/>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46296</v>
      </c>
      <c r="B112" s="49" t="inlineStr">
        <is>
          <t>Salt Shark</t>
        </is>
      </c>
      <c r="C112" s="92" t="inlineStr">
        <is>
          <t>4938</t>
        </is>
      </c>
      <c r="D112" s="92" t="inlineStr">
        <is>
          <t>2026-09</t>
        </is>
      </c>
      <c r="E112" s="49" t="inlineStr">
        <is>
          <t>Order Cut Off</t>
        </is>
      </c>
      <c r="F112" s="49" t="inlineStr">
        <is>
          <t>Count as met</t>
        </is>
      </c>
      <c r="G112" s="49" t="inlineStr">
        <is>
          <t>Order not yet dispatched; confirmed by operations to be completed and dispatched tomorrow (2 Oct 2026) - extension approved, not a genuine cutoff miss.</t>
        </is>
      </c>
    </row>
    <row r="113">
      <c r="A113" s="90" t="n">
        <v>46296</v>
      </c>
      <c r="B113" s="49" t="inlineStr">
        <is>
          <t>Salt Shark</t>
        </is>
      </c>
      <c r="C113" s="92" t="inlineStr">
        <is>
          <t>4953</t>
        </is>
      </c>
      <c r="D113" s="92" t="inlineStr">
        <is>
          <t>2026-09</t>
        </is>
      </c>
      <c r="E113" s="49" t="inlineStr">
        <is>
          <t>Order Cut Off</t>
        </is>
      </c>
      <c r="F113" s="49" t="inlineStr">
        <is>
          <t>Count as met</t>
        </is>
      </c>
      <c r="G113" s="49" t="inlineStr">
        <is>
          <t>Order not yet dispatched; confirmed by operations to be completed and dispatched tomorrow (2 Oct 2026) - extension approved, not a genuine cutoff miss.</t>
        </is>
      </c>
    </row>
    <row r="114" ht="15" customHeight="1" s="50">
      <c r="A114" s="90" t="n">
        <v>46296</v>
      </c>
      <c r="B114" s="49" t="inlineStr">
        <is>
          <t>Flo &amp; Frankie</t>
        </is>
      </c>
      <c r="C114" s="92" t="inlineStr">
        <is>
          <t>*</t>
        </is>
      </c>
      <c r="D114" s="92" t="n"/>
      <c r="E114" s="49" t="inlineStr">
        <is>
          <t>Order Cut Off</t>
        </is>
      </c>
      <c r="F114" s="49" t="inlineStr">
        <is>
          <t>Count as met</t>
        </is>
      </c>
      <c r="G114" s="49" t="inlineStr">
        <is>
          <t>Customer agreement: Flo &amp; Frankie Order Cut Off orders count as met going forward, per agreement with the customer.</t>
        </is>
      </c>
    </row>
    <row r="115" ht="15" customHeight="1" s="50">
      <c r="A115" s="90" t="n">
        <v>46303</v>
      </c>
      <c r="B115" t="inlineStr">
        <is>
          <t>Oricom</t>
        </is>
      </c>
      <c r="C115" t="inlineStr">
        <is>
          <t>HL085007</t>
        </is>
      </c>
      <c r="D115" t="inlineStr">
        <is>
          <t>2026-09</t>
        </is>
      </c>
      <c r="E115" t="inlineStr">
        <is>
          <t>Freight DIFOT</t>
        </is>
      </c>
      <c r="F115" t="inlineStr">
        <is>
          <t>Count as met</t>
        </is>
      </c>
      <c r="G115" t="inlineStr">
        <is>
          <t>DC recipient exception - pre-arranged booking, excluded from avg delivery days</t>
        </is>
      </c>
    </row>
    <row r="116" ht="15" customHeight="1" s="50">
      <c r="A116" s="90" t="n">
        <v>46303</v>
      </c>
      <c r="B116" t="inlineStr">
        <is>
          <t>Oricom</t>
        </is>
      </c>
      <c r="C116" t="inlineStr">
        <is>
          <t>4522201808</t>
        </is>
      </c>
      <c r="D116" t="inlineStr">
        <is>
          <t>2026-09</t>
        </is>
      </c>
      <c r="E116" t="inlineStr">
        <is>
          <t>Freight DIFOT</t>
        </is>
      </c>
      <c r="F116" t="inlineStr">
        <is>
          <t>Count as met</t>
        </is>
      </c>
      <c r="G116" t="inlineStr">
        <is>
          <t>DC recipient exception - pre-arranged booking, excluded from avg delivery days</t>
        </is>
      </c>
    </row>
    <row r="117" ht="15" customHeight="1" s="50">
      <c r="A117" s="90" t="n">
        <v>46303</v>
      </c>
      <c r="B117" t="inlineStr">
        <is>
          <t>Oricom</t>
        </is>
      </c>
      <c r="C117" t="inlineStr">
        <is>
          <t>4522172931</t>
        </is>
      </c>
      <c r="D117" t="inlineStr">
        <is>
          <t>2026-09</t>
        </is>
      </c>
      <c r="E117" t="inlineStr">
        <is>
          <t>Freight DIFOT</t>
        </is>
      </c>
      <c r="F117" t="inlineStr">
        <is>
          <t>Count as met</t>
        </is>
      </c>
      <c r="G117" t="inlineStr">
        <is>
          <t>DC recipient exception - pre-arranged booking, excluded from avg delivery days</t>
        </is>
      </c>
    </row>
    <row r="118" ht="15" customHeight="1" s="50">
      <c r="A118" s="90" t="n">
        <v>46303</v>
      </c>
      <c r="B118" t="inlineStr">
        <is>
          <t>Oricom</t>
        </is>
      </c>
      <c r="C118" t="inlineStr">
        <is>
          <t>4522133734</t>
        </is>
      </c>
      <c r="D118" t="inlineStr">
        <is>
          <t>2026-09</t>
        </is>
      </c>
      <c r="E118" t="inlineStr">
        <is>
          <t>Freight DIFOT</t>
        </is>
      </c>
      <c r="F118" t="inlineStr">
        <is>
          <t>Count as met</t>
        </is>
      </c>
      <c r="G118" t="inlineStr">
        <is>
          <t>DC recipient exception - pre-arranged booking, excluded from avg delivery days</t>
        </is>
      </c>
    </row>
    <row r="119" ht="15" customHeight="1" s="50">
      <c r="A119" s="90" t="n">
        <v>46303</v>
      </c>
      <c r="B119" t="inlineStr">
        <is>
          <t>Oricom</t>
        </is>
      </c>
      <c r="C119" t="inlineStr">
        <is>
          <t>4522087338</t>
        </is>
      </c>
      <c r="D119" t="inlineStr">
        <is>
          <t>2026-09</t>
        </is>
      </c>
      <c r="E119" t="inlineStr">
        <is>
          <t>Freight DIFOT</t>
        </is>
      </c>
      <c r="F119" t="inlineStr">
        <is>
          <t>Count as met</t>
        </is>
      </c>
      <c r="G119" t="inlineStr">
        <is>
          <t>DC recipient exception - pre-arranged booking, excluded from avg delivery days</t>
        </is>
      </c>
    </row>
    <row r="120" ht="15" customHeight="1" s="50">
      <c r="A120" s="90" t="n">
        <v>46303</v>
      </c>
      <c r="B120" t="inlineStr">
        <is>
          <t>Oricom</t>
        </is>
      </c>
      <c r="C120" t="inlineStr">
        <is>
          <t>4707052687</t>
        </is>
      </c>
      <c r="D120" t="inlineStr">
        <is>
          <t>2026-09</t>
        </is>
      </c>
      <c r="E120" t="inlineStr">
        <is>
          <t>Freight DIFOT</t>
        </is>
      </c>
      <c r="F120" t="inlineStr">
        <is>
          <t>Count as met</t>
        </is>
      </c>
      <c r="G120" t="inlineStr">
        <is>
          <t>DC recipient exception - pre-arranged booking, excluded from avg delivery days</t>
        </is>
      </c>
    </row>
    <row r="121" ht="15" customHeight="1" s="50">
      <c r="A121" s="84" t="inlineStr">
        <is>
          <t>Action must be either "Exclude from calculation" or "Count as met". KPI should match the KPI name exactly (e.g. "Order Cut Off"). Order Reference must match the customer's order reference number.</t>
        </is>
      </c>
    </row>
    <row r="122" ht="15" customHeight="1" s="50"/>
    <row r="123" ht="15" customHeight="1" s="50">
      <c r="A123" s="81" t="inlineStr">
        <is>
          <t>Order Content-Based Overrides</t>
        </is>
      </c>
    </row>
    <row r="124">
      <c r="A124" s="82" t="inlineStr">
        <is>
          <t>Customer</t>
        </is>
      </c>
    </row>
    <row r="125">
      <c r="A125" s="49" t="inlineStr">
        <is>
          <t>Vixxen</t>
        </is>
      </c>
      <c r="B125" s="49" t="inlineStr">
        <is>
          <t>Delivery Company Name</t>
        </is>
      </c>
      <c r="C125" s="49" t="inlineStr">
        <is>
          <t>farmers</t>
        </is>
      </c>
      <c r="D125" s="49" t="inlineStr">
        <is>
          <t>Next Tuesday (17:00)</t>
        </is>
      </c>
    </row>
    <row r="126" ht="126.85" customHeight="1" s="50">
      <c r="A126" s="49" t="inlineStr">
        <is>
          <t>Simply Clean</t>
        </is>
      </c>
      <c r="B126" s="49" t="inlineStr">
        <is>
          <t>Delivery Company Name</t>
        </is>
      </c>
      <c r="C126" s="49" t="inlineStr">
        <is>
          <t>briscoes</t>
        </is>
      </c>
      <c r="D126" s="49" t="inlineStr">
        <is>
          <t>Next Tuesday (17:00)</t>
        </is>
      </c>
    </row>
    <row r="127">
      <c r="A127" s="49" t="inlineStr">
        <is>
          <t>Vixxen</t>
        </is>
      </c>
      <c r="B127" s="49" t="inlineStr">
        <is>
          <t>Delivery Company Name</t>
        </is>
      </c>
      <c r="C127" s="49" t="inlineStr">
        <is>
          <t>farmers</t>
        </is>
      </c>
      <c r="D127" s="49" t="inlineStr">
        <is>
          <t>Next Monday (20:00)</t>
        </is>
      </c>
      <c r="E127" s="83" t="n">
        <v>46251</v>
      </c>
      <c r="F127" s="83" t="n">
        <v>46254</v>
      </c>
    </row>
    <row r="128">
      <c r="A128" s="49" t="inlineStr">
        <is>
          <t>Gym Equip</t>
        </is>
      </c>
      <c r="B128" s="49" t="inlineStr">
        <is>
          <t>All Orders</t>
        </is>
      </c>
      <c r="C128" s="49" t="inlineStr">
        <is>
          <t>all</t>
        </is>
      </c>
      <c r="D128" s="49" t="inlineStr">
        <is>
          <t>Fixed (2026-09-02 20:00)</t>
        </is>
      </c>
      <c r="E128" s="83" t="n"/>
      <c r="F128" s="83" t="n">
        <v>46266</v>
      </c>
    </row>
    <row r="129" ht="126.85" customHeight="1" s="50">
      <c r="A129" s="49" t="inlineStr">
        <is>
          <t>Simply Clean</t>
        </is>
      </c>
      <c r="B129" s="49" t="inlineStr">
        <is>
          <t>Delivery Company Name</t>
        </is>
      </c>
      <c r="C129" s="49" t="inlineStr">
        <is>
          <t>briscoes group</t>
        </is>
      </c>
      <c r="D129" s="49" t="inlineStr">
        <is>
          <t>Fixed (2026-09-18 20:00)</t>
        </is>
      </c>
      <c r="E129" s="83" t="n">
        <v>46280</v>
      </c>
      <c r="F129" s="83" t="n">
        <v>46280</v>
      </c>
    </row>
    <row r="130" ht="15" customHeight="1" s="50">
      <c r="A130" s="49" t="inlineStr">
        <is>
          <t>Vixxen</t>
        </is>
      </c>
      <c r="B130" s="49" t="inlineStr">
        <is>
          <t>Delivery Company Name</t>
        </is>
      </c>
      <c r="C130" s="49" t="inlineStr">
        <is>
          <t>farmers</t>
        </is>
      </c>
      <c r="D130" s="49" t="inlineStr">
        <is>
          <t>Fixed (2026-10-13 20:00)</t>
        </is>
      </c>
      <c r="E130" s="83" t="n">
        <v>46300</v>
      </c>
      <c r="F130" s="83" t="n">
        <v>46300</v>
      </c>
    </row>
    <row r="131" ht="23.85" customHeight="1" s="50"/>
    <row r="132" ht="15" customHeight="1" s="50"/>
    <row r="133" ht="15" customHeight="1" s="50"/>
    <row r="134" ht="23.85" customHeight="1" s="50"/>
    <row r="135" ht="15" customHeight="1" s="50">
      <c r="A135"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6" ht="23.85" customHeight="1" s="50"/>
    <row r="137" ht="23.85" customHeight="1" s="50"/>
    <row r="138">
      <c r="A138" s="85" t="inlineStr">
        <is>
          <t>Table 4: DIFOT Delivery Recipient Exceptions</t>
        </is>
      </c>
    </row>
    <row r="139" ht="99.95" customHeight="1" s="50">
      <c r="A139" s="86" t="inlineStr">
        <is>
          <t>Match Field</t>
        </is>
      </c>
      <c r="F139" s="86" t="inlineStr">
        <is>
          <t>Attribute To</t>
        </is>
      </c>
      <c r="G139" s="86" t="inlineStr">
        <is>
          <t>Reason</t>
        </is>
      </c>
    </row>
    <row r="140" ht="15" customHeight="1" s="50">
      <c r="A140" s="49" t="inlineStr">
        <is>
          <t>ShipTo</t>
        </is>
      </c>
      <c r="B140" s="49" t="inlineStr">
        <is>
          <t>supercheap</t>
        </is>
      </c>
      <c r="C140" s="49" t="inlineStr">
        <is>
          <t>Count as met</t>
        </is>
      </c>
      <c r="F140" s="49" t="inlineStr">
        <is>
          <t>Oricom</t>
        </is>
      </c>
      <c r="G140" s="69" t="inlineStr">
        <is>
          <t>Supercheap Auto/Retail DC orders use separate pre-arranged bookings, not standard carrier tracking</t>
        </is>
      </c>
    </row>
    <row r="141" ht="68.65000000000001" customHeight="1" s="50">
      <c r="A141" s="49" t="inlineStr">
        <is>
          <t>ShipTo</t>
        </is>
      </c>
    </row>
    <row r="142" ht="15" customHeight="1" s="50">
      <c r="A142" s="49" t="inlineStr">
        <is>
          <t>ShipTo</t>
        </is>
      </c>
      <c r="B142" s="49" t="inlineStr">
        <is>
          <t>srg</t>
        </is>
      </c>
      <c r="C142" s="49" t="inlineStr">
        <is>
          <t>Count as met</t>
        </is>
      </c>
      <c r="F142" s="49" t="inlineStr">
        <is>
          <t>Oricom</t>
        </is>
      </c>
      <c r="G142" s="69" t="inlineStr">
        <is>
          <t>SRG (Super Retail Group) DC orders use separate pre-arranged bookings</t>
        </is>
      </c>
    </row>
    <row r="143" ht="15" customHeight="1" s="50">
      <c r="A143" s="49" t="inlineStr">
        <is>
          <t>ShipTo</t>
        </is>
      </c>
      <c r="B143" s="49" t="inlineStr">
        <is>
          <t>repco</t>
        </is>
      </c>
      <c r="C143" s="49" t="inlineStr">
        <is>
          <t>Count as met</t>
        </is>
      </c>
      <c r="F143" s="49" t="inlineStr">
        <is>
          <t>Oricom</t>
        </is>
      </c>
      <c r="G143" s="69" t="inlineStr">
        <is>
          <t>Repco (GPC-owned) orders use separate pre-arranged bookings</t>
        </is>
      </c>
    </row>
    <row r="144" ht="68.65000000000001" customHeight="1" s="50"/>
    <row r="145">
      <c r="A145"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6" ht="46.25" customHeight="1" s="50"/>
    <row r="147" ht="15" customHeight="1" s="50"/>
    <row r="148" ht="15" customHeight="1" s="50">
      <c r="A148" s="85" t="inlineStr">
        <is>
          <t>Table 5: International Carrier SLAs</t>
        </is>
      </c>
    </row>
    <row r="149" ht="15" customHeight="1" s="50">
      <c r="A149" s="86" t="inlineStr">
        <is>
          <t>Service Code</t>
        </is>
      </c>
      <c r="B149" s="86" t="inlineStr">
        <is>
          <t>Destination</t>
        </is>
      </c>
      <c r="C149" s="86" t="inlineStr">
        <is>
          <t>Business Days</t>
        </is>
      </c>
      <c r="D149" s="86" t="inlineStr">
        <is>
          <t>Source</t>
        </is>
      </c>
      <c r="E149" s="86" t="inlineStr">
        <is>
          <t>Notes</t>
        </is>
      </c>
    </row>
    <row r="150" ht="15" customHeight="1" s="50">
      <c r="A150" s="49" t="inlineStr">
        <is>
          <t>FEDEX_INTERNATIONAL_CONNECT_PLUS</t>
        </is>
      </c>
      <c r="B150" s="49" t="inlineStr">
        <is>
          <t>All international</t>
        </is>
      </c>
      <c r="C150" s="49" t="n">
        <v>3</v>
      </c>
      <c r="D150" s="49" t="inlineStr">
        <is>
          <t>fedex.com/en-nz</t>
        </is>
      </c>
      <c r="E150" s="69" t="inlineStr">
        <is>
          <t>FedEx FICP 'typically 2-3 business days worldwide' - using maximum per FP policy</t>
        </is>
      </c>
    </row>
    <row r="151" ht="15" customHeight="1" s="50"/>
    <row r="152" ht="15" customHeight="1" s="50">
      <c r="A152" s="87" t="inlineStr">
        <is>
          <t>Business Days are calculated from pickup date using add_business_days() (Mon-Fri only). To add a new carrier/destination rule, add a row here and update extract_difot.py INTL_CARRIER_DAYS dict. If a range is published (e.g. 3-5 days), always use the maximum.</t>
        </is>
      </c>
    </row>
    <row r="153" ht="15" customHeight="1" s="50"/>
    <row r="154" ht="15" customHeight="1" s="50"/>
    <row r="155" ht="15" customHeight="1" s="50">
      <c r="A155" s="49" t="inlineStr">
        <is>
          <t>Table 6: Public Holidays</t>
        </is>
      </c>
    </row>
    <row r="156" ht="15" customHeight="1" s="50">
      <c r="A156" s="49" t="inlineStr">
        <is>
          <t>Date</t>
        </is>
      </c>
      <c r="B156" s="49" t="inlineStr">
        <is>
          <t>Notes</t>
        </is>
      </c>
    </row>
    <row r="157" ht="15" customHeight="1" s="50">
      <c r="A157" s="77" t="n">
        <v>46213</v>
      </c>
      <c r="B157" s="49" t="inlineStr">
        <is>
          <t>Wellington Anniversary / regional public holiday — deadlines falling on this day roll to next business day</t>
        </is>
      </c>
    </row>
    <row r="158" ht="15" customHeight="1" s="50">
      <c r="A158" s="83" t="n"/>
    </row>
    <row r="159"/>
    <row r="160" ht="15" customHeight="1" s="50">
      <c r="A160" s="49" t="inlineStr">
        <is>
          <t>Add future public holidays here. Deadlines (Order Cut Off, required delivery date) that fall on a listed date will automatically roll forward to the next business day.</t>
        </is>
      </c>
    </row>
    <row r="161"/>
    <row r="162">
      <c r="A162" s="49" t="inlineStr">
        <is>
          <t>Table 7: Operational Exceptions (Non-Business Days)</t>
        </is>
      </c>
    </row>
    <row r="163">
      <c r="A163" s="49" t="inlineStr">
        <is>
          <t>Date</t>
        </is>
      </c>
      <c r="B163" s="49" t="inlineStr">
        <is>
          <t>Reason</t>
        </is>
      </c>
    </row>
    <row r="164">
      <c r="A164" s="83" t="n">
        <v>46244</v>
      </c>
      <c r="B164"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5"/>
    <row r="166">
      <c r="A166"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row r="12">
      <c r="A12" s="91" t="n">
        <v>46295</v>
      </c>
      <c r="B12" s="49" t="inlineStr">
        <is>
          <t>Vixxen</t>
        </is>
      </c>
      <c r="C12" s="49" t="inlineStr">
        <is>
          <t>3380</t>
        </is>
      </c>
      <c r="D12" s="49" t="n">
        <v>7</v>
      </c>
      <c r="E12" s="49" t="inlineStr">
        <is>
          <t>Cross-labelled shipping labels - items picked accurately but shipped to wrong destination due to label mix-up</t>
        </is>
      </c>
    </row>
    <row r="13">
      <c r="A13" s="91" t="n">
        <v>46295</v>
      </c>
      <c r="B13" s="49" t="inlineStr">
        <is>
          <t>Vixxen</t>
        </is>
      </c>
      <c r="C13" s="49" t="inlineStr">
        <is>
          <t>3378</t>
        </is>
      </c>
      <c r="D13" s="49" t="n">
        <v>7</v>
      </c>
      <c r="E13" s="49" t="inlineStr">
        <is>
          <t>Cross-labelled shipping labels - items picked accurately but shipped to wrong destination due to label mix-up</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2026-06-10T23:21:10Z</dcterms:created>
  <dcterms:modified xsi:type="dcterms:W3CDTF">2026-10-08T20:47:56Z</dcterms:modified>
  <cp:revision>2</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0x010100CB702797C59B384BA5825BD7F91C8FA6</vt:lpwstr>
  </property>
</Properties>
</file>