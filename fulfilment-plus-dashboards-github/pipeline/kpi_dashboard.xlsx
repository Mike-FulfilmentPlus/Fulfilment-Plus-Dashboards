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Dashboard" sheetId="2" state="visible" r:id="rId2"/>
    <sheet xmlns:r="http://schemas.openxmlformats.org/officeDocument/2006/relationships" name="Charts" sheetId="3" state="visible" r:id="rId3"/>
    <sheet xmlns:r="http://schemas.openxmlformats.org/officeDocument/2006/relationships" name="Read Me" sheetId="4" state="visible" r:id="rId4"/>
    <sheet xmlns:r="http://schemas.openxmlformats.org/officeDocument/2006/relationships" name="KPI Schedule" sheetId="5" state="visible" r:id="rId5"/>
    <sheet xmlns:r="http://schemas.openxmlformats.org/officeDocument/2006/relationships" name="Customers" sheetId="6" state="visible" r:id="rId6"/>
    <sheet xmlns:r="http://schemas.openxmlformats.org/officeDocument/2006/relationships" name="KPI_Data" sheetId="7" state="visible" r:id="rId7"/>
    <sheet xmlns:r="http://schemas.openxmlformats.org/officeDocument/2006/relationships" name="Exceptions" sheetId="8" state="visible" r:id="rId8"/>
    <sheet xmlns:r="http://schemas.openxmlformats.org/officeDocument/2006/relationships" name="Issue Log" sheetId="9" state="visible" r:id="rId9"/>
    <sheet xmlns:r="http://schemas.openxmlformats.org/officeDocument/2006/relationships" name="Dashboard_Calc" sheetId="10" state="hidden" r:id="rId10"/>
  </sheets>
  <definedNames>
    <definedName name="_xlnm._FilterDatabase" localSheetId="6" hidden="1">'KPI_Data'!$A$3:$J$295</definedName>
  </definedNames>
  <calcPr calcId="124519" fullCalcOnLoad="1" refMode="A1" iterate="0" iterateCount="100" iterateDelta="0.0001"/>
</workbook>
</file>

<file path=xl/styles.xml><?xml version="1.0" encoding="utf-8"?>
<styleSheet xmlns="http://schemas.openxmlformats.org/spreadsheetml/2006/main">
  <numFmts count="6">
    <numFmt numFmtId="164" formatCode="mmm\-yyyy"/>
    <numFmt numFmtId="165" formatCode="0.0%"/>
    <numFmt numFmtId="166" formatCode="0.0%;\-0.0%;General;General"/>
    <numFmt numFmtId="167" formatCode="yyyy\-mm\-dd"/>
    <numFmt numFmtId="168" formatCode="yyyy-mm-dd"/>
    <numFmt numFmtId="169" formatCode="yyyy-mm-dd h:mm:ss"/>
  </numFmts>
  <fonts count="28">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8"/>
    </font>
    <font>
      <name val="Arial"/>
      <charset val="1"/>
      <family val="0"/>
      <i val="1"/>
      <color rgb="FF666666"/>
      <sz val="12"/>
    </font>
    <font>
      <name val="Arial"/>
      <charset val="1"/>
      <family val="0"/>
      <b val="1"/>
      <sz val="11"/>
    </font>
    <font>
      <name val="Arial"/>
      <charset val="1"/>
      <family val="0"/>
      <b val="1"/>
      <color rgb="FF1F4E78"/>
      <sz val="12"/>
    </font>
    <font>
      <name val="Arial"/>
      <charset val="1"/>
      <family val="0"/>
      <b val="1"/>
      <color rgb="FFFFFFFF"/>
      <sz val="11"/>
    </font>
    <font>
      <name val="Calibri"/>
      <family val="2"/>
      <b val="1"/>
      <color rgb="FF000000"/>
      <sz val="18"/>
    </font>
    <font>
      <name val="Calibri"/>
      <family val="2"/>
      <color rgb="FF000000"/>
      <sz val="10"/>
    </font>
    <font>
      <name val="Calibri"/>
      <family val="2"/>
      <b val="1"/>
      <color rgb="FF000000"/>
      <sz val="10"/>
    </font>
    <font>
      <name val="Arial"/>
      <charset val="1"/>
      <family val="0"/>
      <b val="1"/>
      <color rgb="FF1F4E78"/>
      <sz val="14"/>
    </font>
    <font>
      <name val="Arial"/>
      <charset val="1"/>
      <family val="0"/>
      <i val="1"/>
      <color rgb="FF666666"/>
      <sz val="10"/>
    </font>
    <font>
      <name val="Cambria"/>
      <charset val="1"/>
      <family val="0"/>
      <b val="1"/>
      <color rgb="FF1F4E78"/>
      <sz val="14"/>
    </font>
    <font>
      <name val="Cambria"/>
      <charset val="1"/>
      <family val="0"/>
      <b val="1"/>
      <color rgb="FF1F4E78"/>
      <sz val="12"/>
    </font>
    <font>
      <name val="Cambria"/>
      <charset val="1"/>
      <family val="0"/>
      <b val="1"/>
      <color rgb="FFFFFFFF"/>
      <sz val="11"/>
    </font>
    <font>
      <name val="Cambria"/>
      <charset val="1"/>
      <family val="0"/>
      <i val="1"/>
      <color rgb="FF666666"/>
      <sz val="9"/>
    </font>
    <font>
      <name val="Calibri"/>
      <b val="1"/>
      <color rgb="00FFFFFF"/>
      <sz val="14"/>
    </font>
    <font>
      <name val="Calibri"/>
      <b val="1"/>
      <sz val="10"/>
    </font>
    <font>
      <name val="Calibri"/>
      <sz val="10"/>
    </font>
    <font>
      <name val="Calibri"/>
      <b val="1"/>
      <color rgb="00FFFFFF"/>
      <sz val="11"/>
    </font>
    <font>
      <name val="Calibri"/>
      <b val="1"/>
      <color rgb="00FFFFFF"/>
      <sz val="10"/>
    </font>
    <font>
      <name val="Calibri"/>
      <i val="1"/>
      <color rgb="00595959"/>
      <sz val="9"/>
    </font>
    <font>
      <b val="1"/>
      <color rgb="FFFFFFFF"/>
      <sz val="11"/>
    </font>
    <font>
      <name val="Cambria"/>
      <b val="1"/>
      <color rgb="FF1F4E78"/>
      <sz val="14"/>
    </font>
    <font>
      <name val="Calibri"/>
      <i val="1"/>
      <color rgb="FF666666"/>
      <sz val="9"/>
    </font>
    <font>
      <name val="Cambria"/>
      <b val="1"/>
      <color rgb="FFFFFFFF"/>
      <sz val="11"/>
    </font>
  </fonts>
  <fills count="8">
    <fill>
      <patternFill/>
    </fill>
    <fill>
      <patternFill patternType="gray125"/>
    </fill>
    <fill>
      <patternFill patternType="solid">
        <fgColor rgb="FFFFF2CC"/>
        <bgColor rgb="FFF9F9F9"/>
      </patternFill>
    </fill>
    <fill>
      <patternFill patternType="solid">
        <fgColor rgb="FF1F4E78"/>
        <bgColor rgb="FF003366"/>
      </patternFill>
    </fill>
    <fill>
      <patternFill patternType="solid">
        <fgColor rgb="001F4E79"/>
      </patternFill>
    </fill>
    <fill>
      <patternFill patternType="solid">
        <fgColor rgb="002E75B6"/>
      </patternFill>
    </fill>
    <fill>
      <patternFill patternType="solid">
        <fgColor rgb="00D6E4F0"/>
      </patternFill>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center" vertical="bottom"/>
    </xf>
    <xf numFmtId="164" fontId="6" fillId="0" borderId="0" applyAlignment="1" pivotButton="0" quotePrefix="0" xfId="0">
      <alignment horizontal="general" vertical="bottom"/>
    </xf>
    <xf numFmtId="0" fontId="8" fillId="3" borderId="1" applyAlignment="1" pivotButton="0" quotePrefix="0" xfId="0">
      <alignment horizontal="center" vertical="center" wrapText="1"/>
    </xf>
    <xf numFmtId="0" fontId="6" fillId="0" borderId="1" applyAlignment="1" pivotButton="0" quotePrefix="0" xfId="0">
      <alignment horizontal="general" vertical="bottom"/>
    </xf>
    <xf numFmtId="165" fontId="0" fillId="0" borderId="1" applyAlignment="1" pivotButton="0" quotePrefix="0" xfId="0">
      <alignment horizontal="center" vertical="bottom"/>
    </xf>
    <xf numFmtId="0" fontId="0" fillId="0" borderId="1" applyAlignment="1" pivotButton="0" quotePrefix="0" xfId="0">
      <alignment horizontal="general" vertical="bottom"/>
    </xf>
    <xf numFmtId="166" fontId="0" fillId="0" borderId="1" applyAlignment="1" pivotButton="0" quotePrefix="0" xfId="0">
      <alignment horizontal="center" vertical="bottom"/>
    </xf>
    <xf numFmtId="0" fontId="0" fillId="0" borderId="1" applyAlignment="1" pivotButton="0" quotePrefix="0" xfId="0">
      <alignment horizontal="center" vertical="bottom"/>
    </xf>
    <xf numFmtId="0" fontId="0" fillId="0" borderId="1" applyAlignment="1" pivotButton="0" quotePrefix="0" xfId="0">
      <alignment horizontal="center" vertical="bottom"/>
    </xf>
    <xf numFmtId="0" fontId="7" fillId="0" borderId="0" applyAlignment="1" pivotButton="0" quotePrefix="0" xfId="0">
      <alignment horizontal="general" vertical="bottom"/>
    </xf>
    <xf numFmtId="0" fontId="12" fillId="0" borderId="0" applyAlignment="1" pivotButton="0" quotePrefix="0" xfId="0">
      <alignment horizontal="general" vertical="bottom"/>
    </xf>
    <xf numFmtId="0" fontId="6" fillId="0" borderId="0" applyAlignment="1" pivotButton="0" quotePrefix="0" xfId="0">
      <alignment horizontal="general" vertical="top"/>
    </xf>
    <xf numFmtId="0" fontId="0" fillId="0" borderId="0" applyAlignment="1" pivotButton="0" quotePrefix="0" xfId="0">
      <alignment horizontal="general" vertical="top" wrapText="1"/>
    </xf>
    <xf numFmtId="0" fontId="0" fillId="0" borderId="0" applyAlignment="1" pivotButton="0" quotePrefix="0" xfId="0">
      <alignment horizontal="general" vertical="top" wrapText="1"/>
    </xf>
    <xf numFmtId="0" fontId="13" fillId="0" borderId="0" applyAlignment="1" pivotButton="0" quotePrefix="0" xfId="0">
      <alignment horizontal="general" vertical="bottom"/>
    </xf>
    <xf numFmtId="0" fontId="6" fillId="0" borderId="1" applyAlignment="1" pivotButton="0" quotePrefix="0" xfId="0">
      <alignment horizontal="left" vertical="top"/>
    </xf>
    <xf numFmtId="165" fontId="0" fillId="0" borderId="1" applyAlignment="1" pivotButton="0" quotePrefix="0" xfId="0">
      <alignment horizontal="center" vertical="top"/>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12" fillId="0" borderId="0" applyAlignment="1" pivotButton="0" quotePrefix="0" xfId="0">
      <alignment horizontal="general" vertical="bottom"/>
    </xf>
    <xf numFmtId="164" fontId="0" fillId="0" borderId="0" applyAlignment="1" pivotButton="0" quotePrefix="0" xfId="0">
      <alignment horizontal="general" vertical="bottom"/>
    </xf>
    <xf numFmtId="165" fontId="0" fillId="0" borderId="0" applyAlignment="1" pivotButton="0" quotePrefix="0" xfId="0">
      <alignment horizontal="general" vertical="bottom"/>
    </xf>
    <xf numFmtId="167" fontId="0" fillId="0" borderId="0" applyAlignment="1" pivotButton="0" quotePrefix="0" xfId="0">
      <alignment horizontal="general" vertical="bottom"/>
    </xf>
    <xf numFmtId="167" fontId="0"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3" borderId="0" applyAlignment="1" pivotButton="0" quotePrefix="0" xfId="0">
      <alignment horizontal="general" vertical="bottom"/>
    </xf>
    <xf numFmtId="0" fontId="17" fillId="0" borderId="0" applyAlignment="1" pivotButton="0" quotePrefix="0" xfId="0">
      <alignment horizontal="general" vertical="top" wrapText="1"/>
    </xf>
    <xf numFmtId="0" fontId="6" fillId="0" borderId="0" applyAlignment="1" pivotButton="0" quotePrefix="0" xfId="0">
      <alignment horizontal="center" vertical="bottom" wrapText="1"/>
    </xf>
    <xf numFmtId="0" fontId="0" fillId="0" borderId="0" pivotButton="0" quotePrefix="0" xfId="0"/>
    <xf numFmtId="0" fontId="18" fillId="4" borderId="0" applyAlignment="1" pivotButton="0" quotePrefix="0" xfId="0">
      <alignment vertical="top"/>
    </xf>
    <xf numFmtId="0" fontId="19" fillId="0" borderId="0" applyAlignment="1" pivotButton="0" quotePrefix="0" xfId="0">
      <alignment vertical="top" wrapText="1"/>
    </xf>
    <xf numFmtId="0" fontId="20" fillId="0" borderId="0" applyAlignment="1" pivotButton="0" quotePrefix="0" xfId="0">
      <alignment vertical="top" wrapText="1"/>
    </xf>
    <xf numFmtId="0" fontId="21" fillId="5" borderId="0" applyAlignment="1" pivotButton="0" quotePrefix="0" xfId="0">
      <alignment vertical="top"/>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center" vertical="bottom"/>
    </xf>
    <xf numFmtId="164" fontId="6" fillId="0" borderId="0" applyAlignment="1" pivotButton="0" quotePrefix="0" xfId="0">
      <alignment horizontal="general" vertical="bottom"/>
    </xf>
    <xf numFmtId="0" fontId="8" fillId="3" borderId="1" applyAlignment="1" pivotButton="0" quotePrefix="0" xfId="0">
      <alignment horizontal="center" vertical="center" wrapText="1"/>
    </xf>
    <xf numFmtId="0" fontId="6" fillId="0" borderId="1" applyAlignment="1" pivotButton="0" quotePrefix="0" xfId="0">
      <alignment horizontal="general" vertical="bottom"/>
    </xf>
    <xf numFmtId="165" fontId="0" fillId="0" borderId="1" applyAlignment="1" pivotButton="0" quotePrefix="0" xfId="0">
      <alignment horizontal="center" vertical="bottom"/>
    </xf>
    <xf numFmtId="0" fontId="0" fillId="0" borderId="1" applyAlignment="1" pivotButton="0" quotePrefix="0" xfId="0">
      <alignment horizontal="general" vertical="bottom"/>
    </xf>
    <xf numFmtId="166" fontId="0" fillId="0" borderId="1" applyAlignment="1" pivotButton="0" quotePrefix="0" xfId="0">
      <alignment horizontal="center" vertical="bottom"/>
    </xf>
    <xf numFmtId="0" fontId="0" fillId="0" borderId="1" applyAlignment="1" pivotButton="0" quotePrefix="0" xfId="0">
      <alignment horizontal="center" vertical="bottom"/>
    </xf>
    <xf numFmtId="0" fontId="7" fillId="0" borderId="0" applyAlignment="1" pivotButton="0" quotePrefix="0" xfId="0">
      <alignment horizontal="general" vertical="bottom"/>
    </xf>
    <xf numFmtId="0" fontId="12" fillId="0" borderId="0" applyAlignment="1" pivotButton="0" quotePrefix="0" xfId="0">
      <alignment horizontal="general" vertical="bottom"/>
    </xf>
    <xf numFmtId="0" fontId="6" fillId="0" borderId="0" applyAlignment="1" pivotButton="0" quotePrefix="0" xfId="0">
      <alignment horizontal="general" vertical="top"/>
    </xf>
    <xf numFmtId="0" fontId="0" fillId="0" borderId="0" applyAlignment="1" pivotButton="0" quotePrefix="0" xfId="0">
      <alignment horizontal="general" vertical="top" wrapText="1"/>
    </xf>
    <xf numFmtId="0" fontId="13" fillId="0" borderId="0" applyAlignment="1" pivotButton="0" quotePrefix="0" xfId="0">
      <alignment horizontal="general" vertical="bottom"/>
    </xf>
    <xf numFmtId="0" fontId="6" fillId="0" borderId="1" applyAlignment="1" pivotButton="0" quotePrefix="0" xfId="0">
      <alignment horizontal="left" vertical="top"/>
    </xf>
    <xf numFmtId="165" fontId="0" fillId="0" borderId="1" applyAlignment="1" pivotButton="0" quotePrefix="0" xfId="0">
      <alignment horizontal="center" vertical="top"/>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164" fontId="0" fillId="0" borderId="0" applyAlignment="1" pivotButton="0" quotePrefix="0" xfId="0">
      <alignment horizontal="general" vertical="bottom"/>
    </xf>
    <xf numFmtId="165" fontId="0" fillId="0" borderId="0" applyAlignment="1" pivotButton="0" quotePrefix="0" xfId="0">
      <alignment horizontal="general" vertical="bottom"/>
    </xf>
    <xf numFmtId="167" fontId="0"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3" borderId="0" applyAlignment="1" pivotButton="0" quotePrefix="0" xfId="0">
      <alignment horizontal="general" vertical="bottom"/>
    </xf>
    <xf numFmtId="0" fontId="17" fillId="0" borderId="0" applyAlignment="1" pivotButton="0" quotePrefix="0" xfId="0">
      <alignment horizontal="general" vertical="top" wrapText="1"/>
    </xf>
    <xf numFmtId="0" fontId="6" fillId="0" borderId="0" applyAlignment="1" pivotButton="0" quotePrefix="0" xfId="0">
      <alignment horizontal="center" vertical="bottom" wrapText="1"/>
    </xf>
    <xf numFmtId="0" fontId="22" fillId="4" borderId="0" pivotButton="0" quotePrefix="0" xfId="0"/>
    <xf numFmtId="0" fontId="19" fillId="6" borderId="0" applyAlignment="1" pivotButton="0" quotePrefix="0" xfId="0">
      <alignment vertical="top" wrapText="1"/>
    </xf>
    <xf numFmtId="0" fontId="0" fillId="0" borderId="0" applyAlignment="1" pivotButton="0" quotePrefix="0" xfId="0">
      <alignment vertical="top" wrapText="1"/>
    </xf>
    <xf numFmtId="0" fontId="23" fillId="0" borderId="0" applyAlignment="1" pivotButton="0" quotePrefix="0" xfId="0">
      <alignment vertical="top" wrapText="1"/>
    </xf>
    <xf numFmtId="168" fontId="0" fillId="0" borderId="0" pivotButton="0" quotePrefix="0" xfId="0"/>
    <xf numFmtId="164" fontId="0" fillId="0" borderId="0" pivotButton="0" quotePrefix="0" xfId="0"/>
    <xf numFmtId="165" fontId="0" fillId="0" borderId="0" pivotButton="0" quotePrefix="0" xfId="0"/>
    <xf numFmtId="169" fontId="0" fillId="0" borderId="0" pivotButton="0" quotePrefix="0" xfId="0"/>
    <xf numFmtId="0" fontId="24" fillId="7" borderId="0" pivotButton="0" quotePrefix="0" xfId="0"/>
    <xf numFmtId="0" fontId="25" fillId="0" borderId="0" pivotButton="0" quotePrefix="0" xfId="0"/>
    <xf numFmtId="0" fontId="26" fillId="0" borderId="0" applyAlignment="1" pivotButton="0" quotePrefix="0" xfId="0">
      <alignment vertical="top" wrapText="1"/>
    </xf>
    <xf numFmtId="0" fontId="27" fillId="7"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bgColor rgb="FFC6EFCE"/>
        </patternFill>
      </fill>
    </dxf>
    <dxf>
      <fill>
        <patternFill>
          <bgColor rgb="FFFFC7CE"/>
        </patternFill>
      </fill>
    </dxf>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78787"/>
      <rgbColor rgb="FF9999FF"/>
      <rgbColor rgb="FFBE4B48"/>
      <rgbColor rgb="FFFFF2CC"/>
      <rgbColor rgb="FFF9F9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4A7EBB"/>
      <rgbColor rgb="FF33CCCC"/>
      <rgbColor rgb="FF99CC00"/>
      <rgbColor rgb="FFFFCC00"/>
      <rgbColor rgb="FFFF9900"/>
      <rgbColor rgb="FFFF6600"/>
      <rgbColor rgb="FF666666"/>
      <rgbColor rgb="FF969696"/>
      <rgbColor rgb="FF003366"/>
      <rgbColor rgb="FF4F81BD"/>
      <rgbColor rgb="FF003300"/>
      <rgbColor rgb="FF333300"/>
      <rgbColor rgb="FF993300"/>
      <rgbColor rgb="FFC0504D"/>
      <rgbColor rgb="FF1F4E78"/>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styles" Target="styles.xml"/><Relationship Id="rId5" Type="http://schemas.openxmlformats.org/officeDocument/2006/relationships/worksheet" Target="/xl/worksheets/sheet5.xml"/><Relationship Id="rId15" Type="http://schemas.openxmlformats.org/officeDocument/2006/relationships/customXml" Target="../customXml/item3.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2.xml"/></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Dock to Stock - rolling 12 months</a:t>
            </a:r>
          </a:p>
        </rich>
      </tx>
      <overlay val="0"/>
      <spPr>
        <a:noFill xmlns:a="http://schemas.openxmlformats.org/drawingml/2006/main"/>
        <a:ln xmlns:a="http://schemas.openxmlformats.org/drawingml/2006/main" w="0">
          <a:noFill/>
          <a:prstDash val="solid"/>
        </a:ln>
      </spPr>
    </title>
    <plotArea>
      <lineChart>
        <grouping val="standard"/>
        <varyColors val="0"/>
        <ser>
          <idx val="0"/>
          <order val="0"/>
          <tx>
            <strRef>
              <f>Dashboard_Calc!B4</f>
              <strCache>
                <ptCount val="1"/>
                <pt idx="0">
                  <v>Target</v>
                </pt>
              </strCache>
            </strRef>
          </tx>
          <spPr>
            <a:solidFill xmlns:a="http://schemas.openxmlformats.org/drawingml/2006/main">
              <a:srgbClr val="4A7EBB"/>
            </a:solidFill>
            <a:ln xmlns:a="http://schemas.openxmlformats.org/drawingml/2006/main" w="12600">
              <a:solidFill>
                <a:srgbClr val="4A7EBB"/>
              </a:solidFill>
              <a:prstDash val="dash"/>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Dashboard_Calc!$A$5:$A$16</f>
              <strCache>
                <ptCount val="12"/>
                <pt idx="0">
                  <v>Jul-2025</v>
                </pt>
                <pt idx="1">
                  <v>Aug-2025</v>
                </pt>
                <pt idx="2">
                  <v>Sep-2025</v>
                </pt>
                <pt idx="3">
                  <v>Oct-2025</v>
                </pt>
                <pt idx="4">
                  <v>Nov-2025</v>
                </pt>
                <pt idx="5">
                  <v>Dec-2025</v>
                </pt>
                <pt idx="6">
                  <v>Jan-2026</v>
                </pt>
                <pt idx="7">
                  <v>Feb-2026</v>
                </pt>
                <pt idx="8">
                  <v>Mar-2026</v>
                </pt>
                <pt idx="9">
                  <v>Apr-2026</v>
                </pt>
                <pt idx="10">
                  <v>May-2026</v>
                </pt>
                <pt idx="11">
                  <v>Jun-2026</v>
                </pt>
              </strCache>
            </strRef>
          </cat>
          <val>
            <numRef>
              <f>Dashboard_Calc!$B$5:$B$16</f>
              <numCache>
                <formatCode>0.0%</formatCode>
                <ptCount val="12"/>
                <pt idx="0">
                  <v>0.95</v>
                </pt>
                <pt idx="1">
                  <v>0.95</v>
                </pt>
                <pt idx="2">
                  <v>0.95</v>
                </pt>
                <pt idx="3">
                  <v>0.95</v>
                </pt>
                <pt idx="4">
                  <v>0.95</v>
                </pt>
                <pt idx="5">
                  <v>0.95</v>
                </pt>
                <pt idx="6">
                  <v>0.95</v>
                </pt>
                <pt idx="7">
                  <v>0.95</v>
                </pt>
                <pt idx="8">
                  <v>0.95</v>
                </pt>
                <pt idx="9">
                  <v>0.95</v>
                </pt>
                <pt idx="10">
                  <v>0.95</v>
                </pt>
                <pt idx="11">
                  <v>0.95</v>
                </pt>
              </numCache>
            </numRef>
          </val>
          <smooth val="0"/>
        </ser>
        <ser>
          <idx val="1"/>
          <order val="1"/>
          <tx>
            <strRef>
              <f>Dashboard_Calc!E4</f>
              <strCache>
                <ptCount val="1"/>
                <pt idx="0">
                  <v>Actual %</v>
                </pt>
              </strCache>
            </strRef>
          </tx>
          <spPr>
            <a:solidFill xmlns:a="http://schemas.openxmlformats.org/drawingml/2006/main">
              <a:srgbClr val="BE4B48"/>
            </a:solidFill>
            <a:ln xmlns:a="http://schemas.openxmlformats.org/drawingml/2006/main" w="12600">
              <a:solidFill>
                <a:srgbClr val="BE4B48"/>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Dashboard_Calc!$A$5:$A$16</f>
              <strCache>
                <ptCount val="12"/>
                <pt idx="0">
                  <v>Jul-2025</v>
                </pt>
                <pt idx="1">
                  <v>Aug-2025</v>
                </pt>
                <pt idx="2">
                  <v>Sep-2025</v>
                </pt>
                <pt idx="3">
                  <v>Oct-2025</v>
                </pt>
                <pt idx="4">
                  <v>Nov-2025</v>
                </pt>
                <pt idx="5">
                  <v>Dec-2025</v>
                </pt>
                <pt idx="6">
                  <v>Jan-2026</v>
                </pt>
                <pt idx="7">
                  <v>Feb-2026</v>
                </pt>
                <pt idx="8">
                  <v>Mar-2026</v>
                </pt>
                <pt idx="9">
                  <v>Apr-2026</v>
                </pt>
                <pt idx="10">
                  <v>May-2026</v>
                </pt>
                <pt idx="11">
                  <v>Jun-2026</v>
                </pt>
              </strCache>
            </strRef>
          </cat>
          <val>
            <numRef>
              <f>Dashboard_Calc!$E$5:$E$16</f>
              <numCache>
                <formatCode>0.0%</formatCode>
                <ptCount val="12"/>
                <pt idx="10">
                  <v>1</v>
                </pt>
              </numCache>
            </numRef>
          </val>
          <smooth val="0"/>
        </ser>
        <hiLowLines>
          <spPr>
            <a:ln xmlns:a="http://schemas.openxmlformats.org/drawingml/2006/main" w="0">
              <a:noFill/>
              <a:prstDash val="solid"/>
            </a:ln>
          </spPr>
        </hiLowLines>
        <marker val="0"/>
        <axId val="24050473"/>
        <axId val="97295704"/>
      </lineChart>
      <catAx>
        <axId val="24050473"/>
        <scaling>
          <orientation val="minMax"/>
        </scaling>
        <delete val="0"/>
        <axPos val="b"/>
        <numFmt formatCode="mmm\-yyyy"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97295704"/>
        <crosses val="autoZero"/>
        <auto val="1"/>
        <lblAlgn val="ctr"/>
        <lblOffset val="100"/>
        <noMultiLvlLbl val="0"/>
      </catAx>
      <valAx>
        <axId val="97295704"/>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Actual vs Target</a:t>
                </a:r>
              </a:p>
            </rich>
          </tx>
          <overlay val="0"/>
          <spPr>
            <a:noFill xmlns:a="http://schemas.openxmlformats.org/drawingml/2006/main"/>
            <a:ln xmlns:a="http://schemas.openxmlformats.org/drawingml/2006/main" w="0">
              <a:noFill/>
              <a:prstDash val="solid"/>
            </a:ln>
          </spPr>
        </title>
        <numFmt formatCode="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24050473"/>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zero"/>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Cycle Count - rolling 12 months</a:t>
            </a:r>
          </a:p>
        </rich>
      </tx>
      <overlay val="0"/>
      <spPr>
        <a:noFill xmlns:a="http://schemas.openxmlformats.org/drawingml/2006/main"/>
        <a:ln xmlns:a="http://schemas.openxmlformats.org/drawingml/2006/main" w="0">
          <a:noFill/>
          <a:prstDash val="solid"/>
        </a:ln>
      </spPr>
    </title>
    <plotArea>
      <lineChart>
        <grouping val="standard"/>
        <varyColors val="0"/>
        <ser>
          <idx val="0"/>
          <order val="0"/>
          <tx>
            <strRef>
              <f>Dashboard_Calc!H4</f>
              <strCache>
                <ptCount val="1"/>
                <pt idx="0">
                  <v>Target</v>
                </pt>
              </strCache>
            </strRef>
          </tx>
          <spPr>
            <a:solidFill xmlns:a="http://schemas.openxmlformats.org/drawingml/2006/main">
              <a:srgbClr val="4A7EBB"/>
            </a:solidFill>
            <a:ln xmlns:a="http://schemas.openxmlformats.org/drawingml/2006/main" w="12600">
              <a:solidFill>
                <a:srgbClr val="4A7EBB"/>
              </a:solidFill>
              <a:prstDash val="dash"/>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Dashboard_Calc!$G$5:$G$16</f>
              <strCache>
                <ptCount val="12"/>
                <pt idx="0">
                  <v>Jul-2025</v>
                </pt>
                <pt idx="1">
                  <v>Aug-2025</v>
                </pt>
                <pt idx="2">
                  <v>Sep-2025</v>
                </pt>
                <pt idx="3">
                  <v>Oct-2025</v>
                </pt>
                <pt idx="4">
                  <v>Nov-2025</v>
                </pt>
                <pt idx="5">
                  <v>Dec-2025</v>
                </pt>
                <pt idx="6">
                  <v>Jan-2026</v>
                </pt>
                <pt idx="7">
                  <v>Feb-2026</v>
                </pt>
                <pt idx="8">
                  <v>Mar-2026</v>
                </pt>
                <pt idx="9">
                  <v>Apr-2026</v>
                </pt>
                <pt idx="10">
                  <v>May-2026</v>
                </pt>
                <pt idx="11">
                  <v>Jun-2026</v>
                </pt>
              </strCache>
            </strRef>
          </cat>
          <val>
            <numRef>
              <f>Dashboard_Calc!$H$5:$H$16</f>
              <numCache>
                <formatCode>0.0%</formatCode>
                <ptCount val="12"/>
                <pt idx="0">
                  <v>0.995</v>
                </pt>
                <pt idx="1">
                  <v>0.995</v>
                </pt>
                <pt idx="2">
                  <v>0.995</v>
                </pt>
                <pt idx="3">
                  <v>0.995</v>
                </pt>
                <pt idx="4">
                  <v>0.995</v>
                </pt>
                <pt idx="5">
                  <v>0.995</v>
                </pt>
                <pt idx="6">
                  <v>0.995</v>
                </pt>
                <pt idx="7">
                  <v>0.995</v>
                </pt>
                <pt idx="8">
                  <v>0.995</v>
                </pt>
                <pt idx="9">
                  <v>0.995</v>
                </pt>
                <pt idx="10">
                  <v>0.995</v>
                </pt>
                <pt idx="11">
                  <v>0.995</v>
                </pt>
              </numCache>
            </numRef>
          </val>
          <smooth val="0"/>
        </ser>
        <ser>
          <idx val="1"/>
          <order val="1"/>
          <tx>
            <strRef>
              <f>Dashboard_Calc!K4</f>
              <strCache>
                <ptCount val="1"/>
                <pt idx="0">
                  <v>Actual %</v>
                </pt>
              </strCache>
            </strRef>
          </tx>
          <spPr>
            <a:solidFill xmlns:a="http://schemas.openxmlformats.org/drawingml/2006/main">
              <a:srgbClr val="BE4B48"/>
            </a:solidFill>
            <a:ln xmlns:a="http://schemas.openxmlformats.org/drawingml/2006/main" w="12600">
              <a:solidFill>
                <a:srgbClr val="BE4B48"/>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Dashboard_Calc!$G$5:$G$16</f>
              <strCache>
                <ptCount val="12"/>
                <pt idx="0">
                  <v>Jul-2025</v>
                </pt>
                <pt idx="1">
                  <v>Aug-2025</v>
                </pt>
                <pt idx="2">
                  <v>Sep-2025</v>
                </pt>
                <pt idx="3">
                  <v>Oct-2025</v>
                </pt>
                <pt idx="4">
                  <v>Nov-2025</v>
                </pt>
                <pt idx="5">
                  <v>Dec-2025</v>
                </pt>
                <pt idx="6">
                  <v>Jan-2026</v>
                </pt>
                <pt idx="7">
                  <v>Feb-2026</v>
                </pt>
                <pt idx="8">
                  <v>Mar-2026</v>
                </pt>
                <pt idx="9">
                  <v>Apr-2026</v>
                </pt>
                <pt idx="10">
                  <v>May-2026</v>
                </pt>
                <pt idx="11">
                  <v>Jun-2026</v>
                </pt>
              </strCache>
            </strRef>
          </cat>
          <val>
            <numRef>
              <f>Dashboard_Calc!$K$5:$K$16</f>
              <numCache>
                <formatCode>General</formatCode>
                <ptCount val="12"/>
              </numCache>
            </numRef>
          </val>
          <smooth val="0"/>
        </ser>
        <hiLowLines>
          <spPr>
            <a:ln xmlns:a="http://schemas.openxmlformats.org/drawingml/2006/main" w="0">
              <a:noFill/>
              <a:prstDash val="solid"/>
            </a:ln>
          </spPr>
        </hiLowLines>
        <marker val="0"/>
        <axId val="61478168"/>
        <axId val="68551533"/>
      </lineChart>
      <catAx>
        <axId val="61478168"/>
        <scaling>
          <orientation val="minMax"/>
        </scaling>
        <delete val="0"/>
        <axPos val="b"/>
        <numFmt formatCode="mmm\-yyyy"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68551533"/>
        <crosses val="autoZero"/>
        <auto val="1"/>
        <lblAlgn val="ctr"/>
        <lblOffset val="100"/>
        <noMultiLvlLbl val="0"/>
      </catAx>
      <valAx>
        <axId val="68551533"/>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Actual vs Target</a:t>
                </a:r>
              </a:p>
            </rich>
          </tx>
          <overlay val="0"/>
          <spPr>
            <a:noFill xmlns:a="http://schemas.openxmlformats.org/drawingml/2006/main"/>
            <a:ln xmlns:a="http://schemas.openxmlformats.org/drawingml/2006/main" w="0">
              <a:noFill/>
              <a:prstDash val="solid"/>
            </a:ln>
          </spPr>
        </title>
        <numFmt formatCode="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61478168"/>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zero"/>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Order Cut Off - rolling 12 months</a:t>
            </a:r>
          </a:p>
        </rich>
      </tx>
      <overlay val="0"/>
      <spPr>
        <a:noFill xmlns:a="http://schemas.openxmlformats.org/drawingml/2006/main"/>
        <a:ln xmlns:a="http://schemas.openxmlformats.org/drawingml/2006/main" w="0">
          <a:noFill/>
          <a:prstDash val="solid"/>
        </a:ln>
      </spPr>
    </title>
    <plotArea>
      <lineChart>
        <grouping val="standard"/>
        <varyColors val="0"/>
        <ser>
          <idx val="0"/>
          <order val="0"/>
          <tx>
            <strRef>
              <f>Dashboard_Calc!N4</f>
              <strCache>
                <ptCount val="1"/>
                <pt idx="0">
                  <v>Target</v>
                </pt>
              </strCache>
            </strRef>
          </tx>
          <spPr>
            <a:solidFill xmlns:a="http://schemas.openxmlformats.org/drawingml/2006/main">
              <a:srgbClr val="4A7EBB"/>
            </a:solidFill>
            <a:ln xmlns:a="http://schemas.openxmlformats.org/drawingml/2006/main" w="12600">
              <a:solidFill>
                <a:srgbClr val="4A7EBB"/>
              </a:solidFill>
              <a:prstDash val="dash"/>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Dashboard_Calc!$M$5:$M$16</f>
              <strCache>
                <ptCount val="12"/>
                <pt idx="0">
                  <v>Jul-2025</v>
                </pt>
                <pt idx="1">
                  <v>Aug-2025</v>
                </pt>
                <pt idx="2">
                  <v>Sep-2025</v>
                </pt>
                <pt idx="3">
                  <v>Oct-2025</v>
                </pt>
                <pt idx="4">
                  <v>Nov-2025</v>
                </pt>
                <pt idx="5">
                  <v>Dec-2025</v>
                </pt>
                <pt idx="6">
                  <v>Jan-2026</v>
                </pt>
                <pt idx="7">
                  <v>Feb-2026</v>
                </pt>
                <pt idx="8">
                  <v>Mar-2026</v>
                </pt>
                <pt idx="9">
                  <v>Apr-2026</v>
                </pt>
                <pt idx="10">
                  <v>May-2026</v>
                </pt>
                <pt idx="11">
                  <v>Jun-2026</v>
                </pt>
              </strCache>
            </strRef>
          </cat>
          <val>
            <numRef>
              <f>Dashboard_Calc!$N$5:$N$16</f>
              <numCache>
                <formatCode>0.0%</formatCode>
                <ptCount val="12"/>
                <pt idx="0">
                  <v>0.95</v>
                </pt>
                <pt idx="1">
                  <v>0.95</v>
                </pt>
                <pt idx="2">
                  <v>0.95</v>
                </pt>
                <pt idx="3">
                  <v>0.95</v>
                </pt>
                <pt idx="4">
                  <v>0.95</v>
                </pt>
                <pt idx="5">
                  <v>0.95</v>
                </pt>
                <pt idx="6">
                  <v>0.95</v>
                </pt>
                <pt idx="7">
                  <v>0.95</v>
                </pt>
                <pt idx="8">
                  <v>0.95</v>
                </pt>
                <pt idx="9">
                  <v>0.95</v>
                </pt>
                <pt idx="10">
                  <v>0.95</v>
                </pt>
                <pt idx="11">
                  <v>0.95</v>
                </pt>
              </numCache>
            </numRef>
          </val>
          <smooth val="0"/>
        </ser>
        <ser>
          <idx val="1"/>
          <order val="1"/>
          <tx>
            <strRef>
              <f>Dashboard_Calc!Q4</f>
              <strCache>
                <ptCount val="1"/>
                <pt idx="0">
                  <v>Actual %</v>
                </pt>
              </strCache>
            </strRef>
          </tx>
          <spPr>
            <a:solidFill xmlns:a="http://schemas.openxmlformats.org/drawingml/2006/main">
              <a:srgbClr val="BE4B48"/>
            </a:solidFill>
            <a:ln xmlns:a="http://schemas.openxmlformats.org/drawingml/2006/main" w="12600">
              <a:solidFill>
                <a:srgbClr val="BE4B48"/>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Dashboard_Calc!$M$5:$M$16</f>
              <strCache>
                <ptCount val="12"/>
                <pt idx="0">
                  <v>Jul-2025</v>
                </pt>
                <pt idx="1">
                  <v>Aug-2025</v>
                </pt>
                <pt idx="2">
                  <v>Sep-2025</v>
                </pt>
                <pt idx="3">
                  <v>Oct-2025</v>
                </pt>
                <pt idx="4">
                  <v>Nov-2025</v>
                </pt>
                <pt idx="5">
                  <v>Dec-2025</v>
                </pt>
                <pt idx="6">
                  <v>Jan-2026</v>
                </pt>
                <pt idx="7">
                  <v>Feb-2026</v>
                </pt>
                <pt idx="8">
                  <v>Mar-2026</v>
                </pt>
                <pt idx="9">
                  <v>Apr-2026</v>
                </pt>
                <pt idx="10">
                  <v>May-2026</v>
                </pt>
                <pt idx="11">
                  <v>Jun-2026</v>
                </pt>
              </strCache>
            </strRef>
          </cat>
          <val>
            <numRef>
              <f>Dashboard_Calc!$Q$5:$Q$16</f>
              <numCache>
                <formatCode>0.0%</formatCode>
                <ptCount val="12"/>
                <pt idx="10">
                  <v>1</v>
                </pt>
              </numCache>
            </numRef>
          </val>
          <smooth val="0"/>
        </ser>
        <hiLowLines>
          <spPr>
            <a:ln xmlns:a="http://schemas.openxmlformats.org/drawingml/2006/main" w="0">
              <a:noFill/>
              <a:prstDash val="solid"/>
            </a:ln>
          </spPr>
        </hiLowLines>
        <marker val="0"/>
        <axId val="12954687"/>
        <axId val="13154463"/>
      </lineChart>
      <catAx>
        <axId val="12954687"/>
        <scaling>
          <orientation val="minMax"/>
        </scaling>
        <delete val="0"/>
        <axPos val="b"/>
        <numFmt formatCode="mmm\-yyyy"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13154463"/>
        <crosses val="autoZero"/>
        <auto val="1"/>
        <lblAlgn val="ctr"/>
        <lblOffset val="100"/>
        <noMultiLvlLbl val="0"/>
      </catAx>
      <valAx>
        <axId val="13154463"/>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Actual vs Target</a:t>
                </a:r>
              </a:p>
            </rich>
          </tx>
          <overlay val="0"/>
          <spPr>
            <a:noFill xmlns:a="http://schemas.openxmlformats.org/drawingml/2006/main"/>
            <a:ln xmlns:a="http://schemas.openxmlformats.org/drawingml/2006/main" w="0">
              <a:noFill/>
              <a:prstDash val="solid"/>
            </a:ln>
          </spPr>
        </title>
        <numFmt formatCode="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12954687"/>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zero"/>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Order Accuracy by Unit - rolling 12 months</a:t>
            </a:r>
          </a:p>
        </rich>
      </tx>
      <overlay val="0"/>
      <spPr>
        <a:noFill xmlns:a="http://schemas.openxmlformats.org/drawingml/2006/main"/>
        <a:ln xmlns:a="http://schemas.openxmlformats.org/drawingml/2006/main" w="0">
          <a:noFill/>
          <a:prstDash val="solid"/>
        </a:ln>
      </spPr>
    </title>
    <plotArea>
      <lineChart>
        <grouping val="standard"/>
        <varyColors val="0"/>
        <ser>
          <idx val="0"/>
          <order val="0"/>
          <tx>
            <strRef>
              <f>Dashboard_Calc!T4</f>
              <strCache>
                <ptCount val="1"/>
                <pt idx="0">
                  <v>Target</v>
                </pt>
              </strCache>
            </strRef>
          </tx>
          <spPr>
            <a:solidFill xmlns:a="http://schemas.openxmlformats.org/drawingml/2006/main">
              <a:srgbClr val="4A7EBB"/>
            </a:solidFill>
            <a:ln xmlns:a="http://schemas.openxmlformats.org/drawingml/2006/main" w="12600">
              <a:solidFill>
                <a:srgbClr val="4A7EBB"/>
              </a:solidFill>
              <a:prstDash val="dash"/>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Dashboard_Calc!$S$5:$S$16</f>
              <strCache>
                <ptCount val="12"/>
                <pt idx="0">
                  <v>Jul-2025</v>
                </pt>
                <pt idx="1">
                  <v>Aug-2025</v>
                </pt>
                <pt idx="2">
                  <v>Sep-2025</v>
                </pt>
                <pt idx="3">
                  <v>Oct-2025</v>
                </pt>
                <pt idx="4">
                  <v>Nov-2025</v>
                </pt>
                <pt idx="5">
                  <v>Dec-2025</v>
                </pt>
                <pt idx="6">
                  <v>Jan-2026</v>
                </pt>
                <pt idx="7">
                  <v>Feb-2026</v>
                </pt>
                <pt idx="8">
                  <v>Mar-2026</v>
                </pt>
                <pt idx="9">
                  <v>Apr-2026</v>
                </pt>
                <pt idx="10">
                  <v>May-2026</v>
                </pt>
                <pt idx="11">
                  <v>Jun-2026</v>
                </pt>
              </strCache>
            </strRef>
          </cat>
          <val>
            <numRef>
              <f>Dashboard_Calc!$T$5:$T$16</f>
              <numCache>
                <formatCode>0.0%</formatCode>
                <ptCount val="12"/>
                <pt idx="0">
                  <v>0.995</v>
                </pt>
                <pt idx="1">
                  <v>0.995</v>
                </pt>
                <pt idx="2">
                  <v>0.995</v>
                </pt>
                <pt idx="3">
                  <v>0.995</v>
                </pt>
                <pt idx="4">
                  <v>0.995</v>
                </pt>
                <pt idx="5">
                  <v>0.995</v>
                </pt>
                <pt idx="6">
                  <v>0.995</v>
                </pt>
                <pt idx="7">
                  <v>0.995</v>
                </pt>
                <pt idx="8">
                  <v>0.995</v>
                </pt>
                <pt idx="9">
                  <v>0.995</v>
                </pt>
                <pt idx="10">
                  <v>0.995</v>
                </pt>
                <pt idx="11">
                  <v>0.995</v>
                </pt>
              </numCache>
            </numRef>
          </val>
          <smooth val="0"/>
        </ser>
        <ser>
          <idx val="1"/>
          <order val="1"/>
          <tx>
            <strRef>
              <f>Dashboard_Calc!W4</f>
              <strCache>
                <ptCount val="1"/>
                <pt idx="0">
                  <v>Actual %</v>
                </pt>
              </strCache>
            </strRef>
          </tx>
          <spPr>
            <a:solidFill xmlns:a="http://schemas.openxmlformats.org/drawingml/2006/main">
              <a:srgbClr val="BE4B48"/>
            </a:solidFill>
            <a:ln xmlns:a="http://schemas.openxmlformats.org/drawingml/2006/main" w="12600">
              <a:solidFill>
                <a:srgbClr val="BE4B48"/>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Dashboard_Calc!$S$5:$S$16</f>
              <strCache>
                <ptCount val="12"/>
                <pt idx="0">
                  <v>Jul-2025</v>
                </pt>
                <pt idx="1">
                  <v>Aug-2025</v>
                </pt>
                <pt idx="2">
                  <v>Sep-2025</v>
                </pt>
                <pt idx="3">
                  <v>Oct-2025</v>
                </pt>
                <pt idx="4">
                  <v>Nov-2025</v>
                </pt>
                <pt idx="5">
                  <v>Dec-2025</v>
                </pt>
                <pt idx="6">
                  <v>Jan-2026</v>
                </pt>
                <pt idx="7">
                  <v>Feb-2026</v>
                </pt>
                <pt idx="8">
                  <v>Mar-2026</v>
                </pt>
                <pt idx="9">
                  <v>Apr-2026</v>
                </pt>
                <pt idx="10">
                  <v>May-2026</v>
                </pt>
                <pt idx="11">
                  <v>Jun-2026</v>
                </pt>
              </strCache>
            </strRef>
          </cat>
          <val>
            <numRef>
              <f>Dashboard_Calc!$W$5:$W$16</f>
              <numCache>
                <formatCode>General</formatCode>
                <ptCount val="12"/>
              </numCache>
            </numRef>
          </val>
          <smooth val="0"/>
        </ser>
        <hiLowLines>
          <spPr>
            <a:ln xmlns:a="http://schemas.openxmlformats.org/drawingml/2006/main" w="0">
              <a:noFill/>
              <a:prstDash val="solid"/>
            </a:ln>
          </spPr>
        </hiLowLines>
        <marker val="0"/>
        <axId val="41931031"/>
        <axId val="21555015"/>
      </lineChart>
      <catAx>
        <axId val="41931031"/>
        <scaling>
          <orientation val="minMax"/>
        </scaling>
        <delete val="0"/>
        <axPos val="b"/>
        <numFmt formatCode="mmm\-yyyy"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21555015"/>
        <crosses val="autoZero"/>
        <auto val="1"/>
        <lblAlgn val="ctr"/>
        <lblOffset val="100"/>
        <noMultiLvlLbl val="0"/>
      </catAx>
      <valAx>
        <axId val="21555015"/>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Actual vs Target</a:t>
                </a:r>
              </a:p>
            </rich>
          </tx>
          <overlay val="0"/>
          <spPr>
            <a:noFill xmlns:a="http://schemas.openxmlformats.org/drawingml/2006/main"/>
            <a:ln xmlns:a="http://schemas.openxmlformats.org/drawingml/2006/main" w="0">
              <a:noFill/>
              <a:prstDash val="solid"/>
            </a:ln>
          </spPr>
        </title>
        <numFmt formatCode="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41931031"/>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zero"/>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Freight DIFOT (overall) - rolling 12 months</a:t>
            </a:r>
          </a:p>
        </rich>
      </tx>
      <overlay val="0"/>
      <spPr>
        <a:noFill xmlns:a="http://schemas.openxmlformats.org/drawingml/2006/main"/>
        <a:ln xmlns:a="http://schemas.openxmlformats.org/drawingml/2006/main" w="0">
          <a:noFill/>
          <a:prstDash val="solid"/>
        </a:ln>
      </spPr>
    </title>
    <plotArea>
      <lineChart>
        <grouping val="standard"/>
        <varyColors val="0"/>
        <ser>
          <idx val="0"/>
          <order val="0"/>
          <tx>
            <strRef>
              <f>Dashboard_Calc!Z4</f>
              <strCache>
                <ptCount val="1"/>
                <pt idx="0">
                  <v>Target</v>
                </pt>
              </strCache>
            </strRef>
          </tx>
          <spPr>
            <a:solidFill xmlns:a="http://schemas.openxmlformats.org/drawingml/2006/main">
              <a:srgbClr val="4A7EBB"/>
            </a:solidFill>
            <a:ln xmlns:a="http://schemas.openxmlformats.org/drawingml/2006/main" w="12600">
              <a:solidFill>
                <a:srgbClr val="4A7EBB"/>
              </a:solidFill>
              <a:prstDash val="dash"/>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Dashboard_Calc!$Y$5:$Y$16</f>
              <strCache>
                <ptCount val="12"/>
                <pt idx="0">
                  <v>Jul-2025</v>
                </pt>
                <pt idx="1">
                  <v>Aug-2025</v>
                </pt>
                <pt idx="2">
                  <v>Sep-2025</v>
                </pt>
                <pt idx="3">
                  <v>Oct-2025</v>
                </pt>
                <pt idx="4">
                  <v>Nov-2025</v>
                </pt>
                <pt idx="5">
                  <v>Dec-2025</v>
                </pt>
                <pt idx="6">
                  <v>Jan-2026</v>
                </pt>
                <pt idx="7">
                  <v>Feb-2026</v>
                </pt>
                <pt idx="8">
                  <v>Mar-2026</v>
                </pt>
                <pt idx="9">
                  <v>Apr-2026</v>
                </pt>
                <pt idx="10">
                  <v>May-2026</v>
                </pt>
                <pt idx="11">
                  <v>Jun-2026</v>
                </pt>
              </strCache>
            </strRef>
          </cat>
          <val>
            <numRef>
              <f>Dashboard_Calc!$Z$5:$Z$16</f>
              <numCache>
                <formatCode>0.0%</formatCode>
                <ptCount val="12"/>
                <pt idx="0">
                  <v>0.95</v>
                </pt>
                <pt idx="1">
                  <v>0.95</v>
                </pt>
                <pt idx="2">
                  <v>0.95</v>
                </pt>
                <pt idx="3">
                  <v>0.95</v>
                </pt>
                <pt idx="4">
                  <v>0.95</v>
                </pt>
                <pt idx="5">
                  <v>0.95</v>
                </pt>
                <pt idx="6">
                  <v>0.95</v>
                </pt>
                <pt idx="7">
                  <v>0.95</v>
                </pt>
                <pt idx="8">
                  <v>0.95</v>
                </pt>
                <pt idx="9">
                  <v>0.95</v>
                </pt>
                <pt idx="10">
                  <v>0.95</v>
                </pt>
                <pt idx="11">
                  <v>0.95</v>
                </pt>
              </numCache>
            </numRef>
          </val>
          <smooth val="0"/>
        </ser>
        <ser>
          <idx val="1"/>
          <order val="1"/>
          <tx>
            <strRef>
              <f>Dashboard_Calc!AC4</f>
              <strCache>
                <ptCount val="1"/>
                <pt idx="0">
                  <v>Actual %</v>
                </pt>
              </strCache>
            </strRef>
          </tx>
          <spPr>
            <a:solidFill xmlns:a="http://schemas.openxmlformats.org/drawingml/2006/main">
              <a:srgbClr val="BE4B48"/>
            </a:solidFill>
            <a:ln xmlns:a="http://schemas.openxmlformats.org/drawingml/2006/main" w="12600">
              <a:solidFill>
                <a:srgbClr val="BE4B48"/>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Dashboard_Calc!$Y$5:$Y$16</f>
              <strCache>
                <ptCount val="12"/>
                <pt idx="0">
                  <v>Jul-2025</v>
                </pt>
                <pt idx="1">
                  <v>Aug-2025</v>
                </pt>
                <pt idx="2">
                  <v>Sep-2025</v>
                </pt>
                <pt idx="3">
                  <v>Oct-2025</v>
                </pt>
                <pt idx="4">
                  <v>Nov-2025</v>
                </pt>
                <pt idx="5">
                  <v>Dec-2025</v>
                </pt>
                <pt idx="6">
                  <v>Jan-2026</v>
                </pt>
                <pt idx="7">
                  <v>Feb-2026</v>
                </pt>
                <pt idx="8">
                  <v>Mar-2026</v>
                </pt>
                <pt idx="9">
                  <v>Apr-2026</v>
                </pt>
                <pt idx="10">
                  <v>May-2026</v>
                </pt>
                <pt idx="11">
                  <v>Jun-2026</v>
                </pt>
              </strCache>
            </strRef>
          </cat>
          <val>
            <numRef>
              <f>Dashboard_Calc!$AC$5:$AC$16</f>
              <numCache>
                <formatCode>0.0%</formatCode>
                <ptCount val="12"/>
                <pt idx="9">
                  <v>0.294117647058824</v>
                </pt>
              </numCache>
            </numRef>
          </val>
          <smooth val="0"/>
        </ser>
        <hiLowLines>
          <spPr>
            <a:ln xmlns:a="http://schemas.openxmlformats.org/drawingml/2006/main" w="0">
              <a:noFill/>
              <a:prstDash val="solid"/>
            </a:ln>
          </spPr>
        </hiLowLines>
        <marker val="0"/>
        <axId val="4686772"/>
        <axId val="42713540"/>
      </lineChart>
      <catAx>
        <axId val="4686772"/>
        <scaling>
          <orientation val="minMax"/>
        </scaling>
        <delete val="0"/>
        <axPos val="b"/>
        <numFmt formatCode="mmm\-yyyy"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42713540"/>
        <crosses val="autoZero"/>
        <auto val="1"/>
        <lblAlgn val="ctr"/>
        <lblOffset val="100"/>
        <noMultiLvlLbl val="0"/>
      </catAx>
      <valAx>
        <axId val="42713540"/>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Actual vs Target</a:t>
                </a:r>
              </a:p>
            </rich>
          </tx>
          <overlay val="0"/>
          <spPr>
            <a:noFill xmlns:a="http://schemas.openxmlformats.org/drawingml/2006/main"/>
            <a:ln xmlns:a="http://schemas.openxmlformats.org/drawingml/2006/main" w="0">
              <a:noFill/>
              <a:prstDash val="solid"/>
            </a:ln>
          </spPr>
        </title>
        <numFmt formatCode="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4686772"/>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zero"/>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Freight DIFOT by Carrier - latest month</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Dashboard_Calc!B19</f>
              <strCache>
                <ptCount val="1"/>
                <pt idx="0">
                  <v>Target</v>
                </pt>
              </strCache>
            </strRef>
          </tx>
          <spPr>
            <a:solidFill xmlns:a="http://schemas.openxmlformats.org/drawingml/2006/main">
              <a:srgbClr val="4F81BD"/>
            </a:solidFill>
            <a:ln xmlns:a="http://schemas.openxmlformats.org/drawingml/2006/main" w="12600">
              <a:solidFill>
                <a:srgbClr val="F9F9F9"/>
              </a:solidFill>
              <a:prstDash val="solid"/>
              <a:roun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Dashboard_Calc!$A$20:$A$21</f>
              <strCache>
                <ptCount val="2"/>
                <pt idx="0">
                  <v>NZ Couriers</v>
                </pt>
                <pt idx="1">
                  <v>PBT Transport</v>
                </pt>
              </strCache>
            </strRef>
          </cat>
          <val>
            <numRef>
              <f>Dashboard_Calc!$B$20:$B$21</f>
              <numCache>
                <formatCode>0.0%</formatCode>
                <ptCount val="2"/>
                <pt idx="0">
                  <v>0.95</v>
                </pt>
                <pt idx="1">
                  <v>0.95</v>
                </pt>
              </numCache>
            </numRef>
          </val>
        </ser>
        <ser>
          <idx val="1"/>
          <order val="1"/>
          <tx>
            <strRef>
              <f>Dashboard_Calc!E19</f>
              <strCache>
                <ptCount val="1"/>
                <pt idx="0">
                  <v>Actual %</v>
                </pt>
              </strCache>
            </strRef>
          </tx>
          <spPr>
            <a:solidFill xmlns:a="http://schemas.openxmlformats.org/drawingml/2006/main">
              <a:srgbClr val="C0504D"/>
            </a:solidFill>
            <a:ln xmlns:a="http://schemas.openxmlformats.org/drawingml/2006/main" w="12600">
              <a:solidFill>
                <a:srgbClr val="F9F9F9"/>
              </a:solidFill>
              <a:prstDash val="solid"/>
              <a:roun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Dashboard_Calc!$A$20:$A$21</f>
              <strCache>
                <ptCount val="2"/>
                <pt idx="0">
                  <v>NZ Couriers</v>
                </pt>
                <pt idx="1">
                  <v>PBT Transport</v>
                </pt>
              </strCache>
            </strRef>
          </cat>
          <val>
            <numRef>
              <f>Dashboard_Calc!$E$20:$E$21</f>
              <numCache>
                <formatCode>General</formatCode>
                <ptCount val="2"/>
              </numCache>
            </numRef>
          </val>
        </ser>
        <gapWidth val="150"/>
        <overlap val="0"/>
        <axId val="78490063"/>
        <axId val="6479716"/>
      </barChart>
      <catAx>
        <axId val="78490063"/>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6479716"/>
        <crosses val="autoZero"/>
        <auto val="1"/>
        <lblAlgn val="ctr"/>
        <lblOffset val="100"/>
        <noMultiLvlLbl val="0"/>
      </catAx>
      <valAx>
        <axId val="6479716"/>
        <scaling>
          <orientation val="minMax"/>
        </scaling>
        <delete val="0"/>
        <axPos val="l"/>
        <majorGridlines>
          <spPr>
            <a:ln xmlns:a="http://schemas.openxmlformats.org/drawingml/2006/main" w="9360">
              <a:solidFill>
                <a:srgbClr val="878787"/>
              </a:solidFill>
              <a:prstDash val="solid"/>
              <a:round/>
            </a:ln>
          </spPr>
        </majorGridlines>
        <numFmt formatCode="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78490063"/>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7.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Stock Accuracy by Year</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Dashboard_Calc!B24</f>
              <strCache>
                <ptCount val="1"/>
                <pt idx="0">
                  <v>Target</v>
                </pt>
              </strCache>
            </strRef>
          </tx>
          <spPr>
            <a:solidFill xmlns:a="http://schemas.openxmlformats.org/drawingml/2006/main">
              <a:srgbClr val="4F81BD"/>
            </a:solidFill>
            <a:ln xmlns:a="http://schemas.openxmlformats.org/drawingml/2006/main" w="12600">
              <a:solidFill>
                <a:srgbClr val="F9F9F9"/>
              </a:solidFill>
              <a:prstDash val="solid"/>
              <a:roun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Dashboard_Calc!$A$25:$A$26</f>
              <strCache>
                <ptCount val="2"/>
                <pt idx="0">
                  <v>2025</v>
                </pt>
                <pt idx="1">
                  <v>2026</v>
                </pt>
              </strCache>
            </strRef>
          </cat>
          <val>
            <numRef>
              <f>Dashboard_Calc!$B$25:$B$26</f>
              <numCache>
                <formatCode>0.0%</formatCode>
                <ptCount val="2"/>
                <pt idx="0">
                  <v>0.995</v>
                </pt>
                <pt idx="1">
                  <v>0.995</v>
                </pt>
              </numCache>
            </numRef>
          </val>
        </ser>
        <ser>
          <idx val="1"/>
          <order val="1"/>
          <tx>
            <strRef>
              <f>Dashboard_Calc!E24</f>
              <strCache>
                <ptCount val="1"/>
                <pt idx="0">
                  <v>Actual %</v>
                </pt>
              </strCache>
            </strRef>
          </tx>
          <spPr>
            <a:solidFill xmlns:a="http://schemas.openxmlformats.org/drawingml/2006/main">
              <a:srgbClr val="C0504D"/>
            </a:solidFill>
            <a:ln xmlns:a="http://schemas.openxmlformats.org/drawingml/2006/main" w="12600">
              <a:solidFill>
                <a:srgbClr val="F9F9F9"/>
              </a:solidFill>
              <a:prstDash val="solid"/>
              <a:roun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Dashboard_Calc!$A$25:$A$26</f>
              <strCache>
                <ptCount val="2"/>
                <pt idx="0">
                  <v>2025</v>
                </pt>
                <pt idx="1">
                  <v>2026</v>
                </pt>
              </strCache>
            </strRef>
          </cat>
          <val>
            <numRef>
              <f>Dashboard_Calc!$E$25:$E$26</f>
              <numCache>
                <formatCode>General</formatCode>
                <ptCount val="2"/>
              </numCache>
            </numRef>
          </val>
        </ser>
        <gapWidth val="150"/>
        <overlap val="0"/>
        <axId val="81171632"/>
        <axId val="56814318"/>
      </barChart>
      <catAx>
        <axId val="81171632"/>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56814318"/>
        <crosses val="autoZero"/>
        <auto val="1"/>
        <lblAlgn val="ctr"/>
        <lblOffset val="100"/>
        <noMultiLvlLbl val="0"/>
      </catAx>
      <valAx>
        <axId val="56814318"/>
        <scaling>
          <orientation val="minMax"/>
        </scaling>
        <delete val="0"/>
        <axPos val="l"/>
        <majorGridlines>
          <spPr>
            <a:ln xmlns:a="http://schemas.openxmlformats.org/drawingml/2006/main" w="9360">
              <a:solidFill>
                <a:srgbClr val="878787"/>
              </a:solidFill>
              <a:prstDash val="solid"/>
              <a:round/>
            </a:ln>
          </spPr>
        </majorGridlines>
        <numFmt formatCode="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81171632"/>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s>
</file>

<file path=xl/drawings/drawing1.xml><?xml version="1.0" encoding="utf-8"?>
<wsDr xmlns="http://schemas.openxmlformats.org/drawingml/2006/spreadsheetDrawing">
  <twoCellAnchor editAs="oneCell">
    <from>
      <col>0</col>
      <colOff>0</colOff>
      <row>6</row>
      <rowOff>0</rowOff>
    </from>
    <to>
      <col>6</col>
      <colOff>195840</colOff>
      <row>21</row>
      <rowOff>20880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6</row>
      <rowOff>0</rowOff>
    </from>
    <to>
      <col>17</col>
      <colOff>146160</colOff>
      <row>21</row>
      <rowOff>20880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0</col>
      <colOff>0</colOff>
      <row>23</row>
      <rowOff>0</rowOff>
    </from>
    <to>
      <col>6</col>
      <colOff>195840</colOff>
      <row>38</row>
      <rowOff>20880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9</col>
      <colOff>0</colOff>
      <row>23</row>
      <rowOff>0</rowOff>
    </from>
    <to>
      <col>17</col>
      <colOff>146160</colOff>
      <row>38</row>
      <rowOff>20880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editAs="oneCell">
    <from>
      <col>0</col>
      <colOff>0</colOff>
      <row>40</row>
      <rowOff>0</rowOff>
    </from>
    <to>
      <col>6</col>
      <colOff>195840</colOff>
      <row>55</row>
      <rowOff>20520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editAs="oneCell">
    <from>
      <col>9</col>
      <colOff>0</colOff>
      <row>40</row>
      <rowOff>0</rowOff>
    </from>
    <to>
      <col>17</col>
      <colOff>146160</colOff>
      <row>55</row>
      <rowOff>20520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editAs="oneCell">
    <from>
      <col>0</col>
      <colOff>0</colOff>
      <row>57</row>
      <rowOff>0</rowOff>
    </from>
    <to>
      <col>6</col>
      <colOff>195840</colOff>
      <row>72</row>
      <rowOff>20520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28" customWidth="1" style="34" min="1" max="1"/>
    <col width="72" customWidth="1" style="34" min="2" max="2"/>
  </cols>
  <sheetData>
    <row r="1" ht="22" customHeight="1" s="34">
      <c r="A1" s="35" t="inlineStr">
        <is>
          <t>Fulfilment Plus KPI Dashboard — Instructions &amp; Reference</t>
        </is>
      </c>
    </row>
    <row r="2">
      <c r="A2" s="36" t="inlineStr">
        <is>
          <t>Last updated</t>
        </is>
      </c>
      <c r="B2" s="37" t="inlineStr">
        <is>
          <t>June 2026  |  Questions? Contact mike@fulfilmentplus.co.nz</t>
        </is>
      </c>
    </row>
    <row r="3" ht="6" customHeight="1" s="34"/>
    <row r="4" ht="18" customHeight="1" s="34">
      <c r="A4" s="38" t="inlineStr">
        <is>
          <t>1. System Overview</t>
        </is>
      </c>
    </row>
    <row r="5" ht="30" customHeight="1" s="34">
      <c r="A5" s="36" t="inlineStr">
        <is>
          <t>What this workbook does</t>
        </is>
      </c>
      <c r="B5" s="37" t="inlineStr">
        <is>
          <t>Accumulates monthly KPI data for all Fulfilment Plus customers across 6 KPIs. Two HTML dashboards (customer_dashboard.html, business_dashboard.html) are generated from this file and can be opened in any browser or shared via OneDrive.</t>
        </is>
      </c>
    </row>
    <row r="6">
      <c r="A6" s="36" t="inlineStr">
        <is>
          <t>Where files live</t>
        </is>
      </c>
      <c r="B6" s="37" t="inlineStr">
        <is>
          <t>All scripts and this workbook live in:
C:\Users\MikeAppleton\Claude\Projects\Fulfilment Plus KPIs\</t>
        </is>
      </c>
    </row>
    <row r="7" ht="72" customHeight="1" s="34">
      <c r="A7" s="36" t="inlineStr">
        <is>
          <t>The 6 KPIs</t>
        </is>
      </c>
      <c r="B7" s="37" t="inlineStr">
        <is>
          <t>1. Dock to Stock (target 95%) — CartonCloud inbound orders
2. Order Cut Off (target 95%) — CartonCloud outbound orders
3. Stock Accuracy (target 99.5%) — manual entry from annual stock take
4. Cycle Count — manual entry
5. Order Accuracy by Unit — manual entry (no API source yet)
6. Freight DIFOT (target 95%) — Starshipit Delivery Performance CSV</t>
        </is>
      </c>
    </row>
    <row r="8" ht="6" customHeight="1" s="34"/>
    <row r="9" ht="18" customHeight="1" s="34">
      <c r="A9" s="38" t="inlineStr">
        <is>
          <t>2. Monthly Workflow (run on the 1st–5th of each month)</t>
        </is>
      </c>
    </row>
    <row r="10" ht="60" customHeight="1" s="34">
      <c r="A10" s="36" t="inlineStr">
        <is>
          <t>Step 1 — Extract KPIs from CartonCloud</t>
        </is>
      </c>
      <c r="B10" s="37" t="inlineStr">
        <is>
          <t>Run in terminal (in the project folder):
  python extract_kpi_data.py YYYY-MM
Replace YYYY-MM with the prior month, e.g. 2026-06
This pulls Dock to Stock and Order Cut Off for all customers and appends rows to KPI_Data.</t>
        </is>
      </c>
    </row>
    <row r="11" ht="72" customHeight="1" s="34">
      <c r="A11" s="36" t="inlineStr">
        <is>
          <t>Step 2 — Extract DIFOT from Starshipit</t>
        </is>
      </c>
      <c r="B11" s="37" t="inlineStr">
        <is>
          <t>a) In Starshipit: Reports → Generate Report → Delivery Performance
   Set date range to the full prior month. Download the .xlsx file.
b) Copy the file into the project folder, then run:
   python extract_difot.py YYYY-MM DeliveryPerformanceReport_....xlsx
This matches each shipment to a customer via CartonCloud and appends DIFOT rows.</t>
        </is>
      </c>
    </row>
    <row r="12" ht="40" customHeight="1" s="34">
      <c r="A12" s="36" t="inlineStr">
        <is>
          <t>Step 3 — Add manual KPIs</t>
        </is>
      </c>
      <c r="B12" s="37" t="inlineStr">
        <is>
          <t>For Stock Accuracy, Cycle Count, Order Accuracy: add rows directly to the KPI_Data tab.
Columns: Month | Customer | KPI | Carrier (blank) | Target | Num | Den
Columns H, I, J use formulas — copy down from an existing row.</t>
        </is>
      </c>
    </row>
    <row r="13">
      <c r="A13" s="36" t="inlineStr">
        <is>
          <t>Step 4 — Regenerate dashboards</t>
        </is>
      </c>
      <c r="B13" s="37" t="inlineStr">
        <is>
          <t>Run:  python generate_dashboards.py
This rewrites customer_dashboard.html and business_dashboard.html.</t>
        </is>
      </c>
    </row>
    <row r="14" ht="6" customHeight="1" s="34"/>
    <row r="15" ht="18" customHeight="1" s="34">
      <c r="A15" s="38" t="inlineStr">
        <is>
          <t>3. Scheduled (Automatic) Tasks</t>
        </is>
      </c>
    </row>
    <row r="16" ht="40" customHeight="1" s="34">
      <c r="A16" s="36" t="inlineStr">
        <is>
          <t>mtd-dashboard-refresh</t>
        </is>
      </c>
      <c r="B16" s="37" t="inlineStr">
        <is>
          <t>Runs daily at 7:00 AM. Executes mtd_kpis.py (fetches this month's CartonCloud orders and computes month-to-date Dock to Stock and Order Cut Off) then regenerates both dashboards. MTD badges appear on the dashboards under each KPI card.</t>
        </is>
      </c>
    </row>
    <row r="17" ht="40" customHeight="1" s="34">
      <c r="A17" s="36" t="inlineStr">
        <is>
          <t>awaiting-stock-snapshot</t>
        </is>
      </c>
      <c r="B17" s="37" t="inlineStr">
        <is>
          <t>Runs daily at 6:10 PM. Records which CartonCloud outbound orders are in AWAITING_STOCK status and when they transition off (stock becomes available). Used in future to adjust the Order Cut Off clock for orders that were held waiting on stock.</t>
        </is>
      </c>
    </row>
    <row r="18" ht="40" customHeight="1" s="34">
      <c r="A18" s="36" t="inlineStr">
        <is>
          <t>monthly-kpi-extraction</t>
        </is>
      </c>
      <c r="B18" s="37" t="inlineStr">
        <is>
          <t>Runs on the 5th of each month at 8:00 AM. Automatically runs extract_kpi_data.py for the prior month. You still need to manually run extract_difot.py and add any manual KPIs.</t>
        </is>
      </c>
    </row>
    <row r="19" ht="6" customHeight="1" s="34"/>
    <row r="20" ht="18" customHeight="1" s="34">
      <c r="A20" s="38" t="inlineStr">
        <is>
          <t>4. KPI Calculation Rules</t>
        </is>
      </c>
    </row>
    <row r="21" ht="30" customHeight="1" s="34">
      <c r="A21" s="36" t="inlineStr">
        <is>
          <t>Dock to Stock</t>
        </is>
      </c>
      <c r="B21" s="37" t="inlineStr">
        <is>
          <t>Inbound orders verified within 48 hours of arrivalDate. Orders still within their 48-hr window (MTD only) are excluded from the denominator.</t>
        </is>
      </c>
    </row>
    <row r="22" ht="40" customHeight="1" s="34">
      <c r="A22" s="36" t="inlineStr">
        <is>
          <t>Order Cut Off — standard rule</t>
        </is>
      </c>
      <c r="B22" s="37" t="inlineStr">
        <is>
          <t>Orders received before 2:00 PM NZ time on a weekday must dispatch same day.
Orders received after 2:00 PM or on a weekend must dispatch by 2:00 PM next business day.</t>
        </is>
      </c>
    </row>
    <row r="23" ht="50" customHeight="1" s="34">
      <c r="A23" s="36" t="inlineStr">
        <is>
          <t>Order Cut Off — requiredDate rule</t>
        </is>
      </c>
      <c r="B23" s="37" t="inlineStr">
        <is>
          <t>If an order has a requiredDate set, an alternative deadline is calculated as 2 business days before requiredDate at 2:00 PM NZ. Final deadline = max(standard, requiredDate-based). This only ever makes the deadline MORE lenient, never stricter.</t>
        </is>
      </c>
    </row>
    <row r="24" ht="50" customHeight="1" s="34">
      <c r="A24" s="36" t="inlineStr">
        <is>
          <t>Order Cut Off — Exceptions tab</t>
        </is>
      </c>
      <c r="B24" s="37" t="inlineStr">
        <is>
          <t>Three override tables in the Exceptions tab (see below):
• Customer Cutoff Time Overrides — change the 2pm cutoff and/or rule for a customer
• Order-Level Exceptions — exclude or force-count a specific order
• Order Content-Based Overrides — override deadline based on order content (e.g. Farmers stores)</t>
        </is>
      </c>
    </row>
    <row r="25" ht="90" customHeight="1" s="34">
      <c r="A25" s="36" t="inlineStr">
        <is>
          <t>Freight DIFOT</t>
        </is>
      </c>
      <c r="B25" s="37" t="inlineStr">
        <is>
          <t>NZ North Island (postcode &lt; 7000): delivered within 1 business day of carrier pickup.
NZ South Island (postcode ≥ 7000): delivered within 3 business days of carrier pickup.
Rural: +2 business days. DG (dangerous goods): +2 business days.
International shipments excluded. Only CartonCloud-sourced Starshipit orders counted.
⚠ Known gap: Rural flag and DG flag do not currently appear in the Starshipit export (all rows show Rural=No, no DG codes present). Raise with Starshipit support.</t>
        </is>
      </c>
    </row>
    <row r="26" ht="6" customHeight="1" s="34"/>
    <row r="27" ht="18" customHeight="1" s="34">
      <c r="A27" s="38" t="inlineStr">
        <is>
          <t>5. How to Add Exceptions</t>
        </is>
      </c>
    </row>
    <row r="28" ht="60" customHeight="1" s="34">
      <c r="A28" s="36" t="inlineStr">
        <is>
          <t>Customer Cutoff Override</t>
        </is>
      </c>
      <c r="B28" s="37" t="inlineStr">
        <is>
          <t>Exceptions tab → Table 1 'Customer Cutoff Time Overrides'
Add a row: Customer | Cutoff Time (HH:MM) | Deadline Rule | Effective From | Effective To | Reason
Deadline Rule options: 'Same day' or 'Next business day (EOD)'
Leave Effective To blank for open-ended. Override only ever makes deadline MORE lenient.</t>
        </is>
      </c>
    </row>
    <row r="29" ht="50" customHeight="1" s="34">
      <c r="A29" s="36" t="inlineStr">
        <is>
          <t>Order-Level Exception</t>
        </is>
      </c>
      <c r="B29" s="37" t="inlineStr">
        <is>
          <t>Exceptions tab → Table 2 'Order-Level Exceptions'
Add a row: Date Logged | Customer | Order Reference | Month (YYYY-MM) | KPI | Action | Reason
Action options: 'Exclude from calculation' or 'Count as met'</t>
        </is>
      </c>
    </row>
    <row r="30" ht="72" customHeight="1" s="34">
      <c r="A30" s="36" t="inlineStr">
        <is>
          <t>Content-Based Override</t>
        </is>
      </c>
      <c r="B30" s="37" t="inlineStr">
        <is>
          <t>Exceptions tab → Table 3 'Order Content-Based Overrides'
Add a row: Customer | Match Field | Contains | Deadline Rule | Effective From | Effective To | Reason
Match Field options: 'Delivery Company Name' (checks companyName in CartonCloud delivery address)
Deadline Rule: 'Same day', 'Next business day (EOD)', or 'Next Tuesday (5pm)' style
Example: Vixxen | Delivery Company Name | Farmers | Next Tuesday (5pm)</t>
        </is>
      </c>
    </row>
    <row r="31" ht="6" customHeight="1" s="34"/>
    <row r="32" ht="18" customHeight="1" s="34">
      <c r="A32" s="38" t="inlineStr">
        <is>
          <t>6. Script Reference</t>
        </is>
      </c>
    </row>
    <row r="33" ht="50" customHeight="1" s="34">
      <c r="A33" s="36" t="inlineStr">
        <is>
          <t>extract_kpi_data.py</t>
        </is>
      </c>
      <c r="B33" s="37" t="inlineStr">
        <is>
          <t>Usage: python extract_kpi_data.py YYYY-MM
Pulls Dock to Stock and Order Cut Off from CartonCloud for the given month.
Reads Exceptions tab. Appends rows to KPI_Data. Re-run safe (replaces existing rows for that month).</t>
        </is>
      </c>
    </row>
    <row r="34" ht="50" customHeight="1" s="34">
      <c r="A34" s="36" t="inlineStr">
        <is>
          <t>extract_difot.py</t>
        </is>
      </c>
      <c r="B34" s="37" t="inlineStr">
        <is>
          <t>Usage: python extract_difot.py YYYY-MM [DeliveryPerformanceReport.xlsx]
Reads Starshipit CSV, fetches CartonCloud customer map, computes Freight DIFOT, appends to KPI_Data.
If no CSV path given, uses the most recently modified DeliveryPerformanceReport*.xlsx in the folder.</t>
        </is>
      </c>
    </row>
    <row r="35" ht="40" customHeight="1" s="34">
      <c r="A35" s="36" t="inlineStr">
        <is>
          <t>generate_dashboards.py</t>
        </is>
      </c>
      <c r="B35" s="37" t="inlineStr">
        <is>
          <t>Usage: python generate_dashboards.py
Reads kpi_dashboard.xlsx and mtd_kpis.json. Writes customer_dashboard.html and business_dashboard.html.</t>
        </is>
      </c>
    </row>
    <row r="36" ht="50" customHeight="1" s="34">
      <c r="A36" s="36" t="inlineStr">
        <is>
          <t>mtd_kpis.py</t>
        </is>
      </c>
      <c r="B36" s="37" t="inlineStr">
        <is>
          <t>Usage: python mtd_kpis.py  (run automatically by mtd-dashboard-refresh scheduled task)
Fetches current-month CartonCloud orders, computes month-to-date Dock to Stock and Order Cut Off.
Writes mtd_kpis.json. Freight DIFOT MTD not available (Starshipit API does not return full month history).</t>
        </is>
      </c>
    </row>
    <row r="37" ht="40" customHeight="1" s="34">
      <c r="A37" s="36" t="inlineStr">
        <is>
          <t>daily_status_snapshot.py</t>
        </is>
      </c>
      <c r="B37" s="37" t="inlineStr">
        <is>
          <t>Usage: python daily_status_snapshot.py  (run automatically by awaiting-stock-snapshot scheduled task)
Logs CartonCloud AWAITING_STOCK orders to awaiting_stock_log.csv and tracks when they transition.</t>
        </is>
      </c>
    </row>
    <row r="38" ht="6" customHeight="1" s="34"/>
    <row r="39" ht="18" customHeight="1" s="34">
      <c r="A39" s="38" t="inlineStr">
        <is>
          <t>7. Credentials &amp; API Access</t>
        </is>
      </c>
    </row>
    <row r="40" ht="72" customHeight="1" s="34">
      <c r="A40" s="36" t="inlineStr">
        <is>
          <t>credentials.env</t>
        </is>
      </c>
      <c r="B40" s="37" t="inlineStr">
        <is>
          <t>File in the project folder containing API keys. Never share or commit this file.
Keys: CARTONCLOUD_CLIENT_ID, CARTONCLOUD_CLIENT_SECRET, CARTONCLOUD_TENANT_ID
      STARSHIPIT_API_KEY, STARSHIPIT_SUBSCRIPTION_KEY
CartonCloud: Settings → Contacts → API Clients
Starshipit: Settings → API (use the parent account key)</t>
        </is>
      </c>
    </row>
    <row r="41" ht="50" customHeight="1" s="34">
      <c r="A41" s="36" t="inlineStr">
        <is>
          <t>Known issue — Starshipit API</t>
        </is>
      </c>
      <c r="B41" s="37" t="inlineStr">
        <is>
          <t>The Starshipit /orders/shipped API only returns ~5 days of history regardless of date filters. Full historical data must be exported manually from the Starshipit UI (Reports → Delivery Performance). Raised with Starshipit support — update this note once resolved.</t>
        </is>
      </c>
    </row>
    <row r="42" ht="6" customHeight="1" s="34"/>
    <row r="43" ht="18" customHeight="1" s="34">
      <c r="A43" s="38" t="inlineStr">
        <is>
          <t>8. KPI_Data Tab Structure</t>
        </is>
      </c>
    </row>
    <row r="44" ht="72" customHeight="1" s="34">
      <c r="A44" s="36" t="inlineStr">
        <is>
          <t>Column layout</t>
        </is>
      </c>
      <c r="B44" s="37" t="inlineStr">
        <is>
          <t>A: Month (date, 1st of month)  |  B: Customer  |  C: KPI name  |  D: Carrier (DIFOT only)
E: Target (decimal, e.g. 0.95)  |  F: Numerator  |  G: Denominator
H: =F/G (actual %)  |  I: =IF(H&gt;=E,"Yes","No")  |  J: Notes (auto-filled when below target)
Do not edit columns H or I — they contain formulas. Copy them from an adjacent row if adding manually.</t>
        </is>
      </c>
    </row>
    <row r="45" ht="50" customHeight="1" s="34">
      <c r="A45" s="36" t="inlineStr">
        <is>
          <t>Adding a manual row</t>
        </is>
      </c>
      <c r="B45" s="37" t="inlineStr">
        <is>
          <t>1. Go to the KPI_Data tab
2. Scroll to the next empty row after the last data row
3. Enter values in A–G and J (leave H and I blank, then copy the formulas down from the row above)</t>
        </is>
      </c>
    </row>
  </sheetData>
  <mergeCells count="9">
    <mergeCell ref="A4:B4"/>
    <mergeCell ref="A20:B20"/>
    <mergeCell ref="A15:B15"/>
    <mergeCell ref="A43:B43"/>
    <mergeCell ref="A32:B32"/>
    <mergeCell ref="A1:B1"/>
    <mergeCell ref="A9:B9"/>
    <mergeCell ref="A27:B27"/>
    <mergeCell ref="A39:B39"/>
  </mergeCells>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4" customWidth="1" style="39" min="1" max="1"/>
    <col width="10" customWidth="1" style="39" min="2" max="3"/>
    <col width="14" customWidth="1" style="39" min="4" max="5"/>
    <col width="32" customWidth="1" style="39" min="6" max="6"/>
    <col width="9" customWidth="1" style="39" min="7" max="15"/>
  </cols>
  <sheetData>
    <row r="1" ht="21.75" customHeight="1" s="34">
      <c r="A1" s="40" t="inlineStr">
        <is>
          <t>Fulfilment Plus</t>
        </is>
      </c>
    </row>
    <row r="2" ht="15" customHeight="1" s="34">
      <c r="A2" s="41" t="inlineStr">
        <is>
          <t>Monthly Customer KPI Report</t>
        </is>
      </c>
    </row>
    <row r="4" ht="15" customHeight="1" s="34">
      <c r="A4" s="42" t="inlineStr">
        <is>
          <t>Customer:</t>
        </is>
      </c>
      <c r="C4" s="43" t="inlineStr">
        <is>
          <t>Aleger Studio</t>
        </is>
      </c>
    </row>
    <row r="5" ht="15" customHeight="1" s="34">
      <c r="A5" s="42" t="inlineStr">
        <is>
          <t>Report Month:</t>
        </is>
      </c>
      <c r="C5" s="44">
        <f>Dashboard_Calc!B2</f>
        <v/>
      </c>
    </row>
    <row r="7" ht="26.25" customHeight="1" s="34">
      <c r="A7" s="45" t="inlineStr">
        <is>
          <t>KPI</t>
        </is>
      </c>
      <c r="B7" s="45" t="inlineStr">
        <is>
          <t>Target</t>
        </is>
      </c>
      <c r="C7" s="45" t="inlineStr">
        <is>
          <t>Frequency</t>
        </is>
      </c>
      <c r="D7" s="45" t="inlineStr">
        <is>
          <t>Latest Result</t>
        </is>
      </c>
      <c r="E7" s="45" t="inlineStr">
        <is>
          <t>Status</t>
        </is>
      </c>
      <c r="F7" s="45" t="inlineStr">
        <is>
          <t>Rolling 12-Month / Annual Result</t>
        </is>
      </c>
    </row>
    <row r="8" ht="15" customHeight="1" s="34">
      <c r="A8" s="46" t="inlineStr">
        <is>
          <t>Dock to Stock</t>
        </is>
      </c>
      <c r="B8" s="47">
        <f>'KPI Schedule'!B5</f>
        <v/>
      </c>
      <c r="C8" s="48">
        <f>'KPI Schedule'!C5</f>
        <v/>
      </c>
      <c r="D8" s="49">
        <f>IF(Dashboard_Calc!E16="","No data",Dashboard_Calc!E16)</f>
        <v/>
      </c>
      <c r="E8" s="50">
        <f>IF(ISNUMBER(D8),IF(D8&gt;=B8,"On Target","Below Target"),"-")</f>
        <v/>
      </c>
      <c r="F8" s="49">
        <f>IFERROR(SUM(Dashboard_Calc!C5:C16)/SUM(Dashboard_Calc!D5:D16),"No data")</f>
        <v/>
      </c>
    </row>
    <row r="9" ht="15" customHeight="1" s="34">
      <c r="A9" s="46" t="inlineStr">
        <is>
          <t>Stock Accuracy</t>
        </is>
      </c>
      <c r="B9" s="47">
        <f>'KPI Schedule'!B6</f>
        <v/>
      </c>
      <c r="C9" s="48">
        <f>'KPI Schedule'!C6</f>
        <v/>
      </c>
      <c r="D9" s="49">
        <f>IF(Dashboard_Calc!E25="","Pending",Dashboard_Calc!E25)</f>
        <v/>
      </c>
      <c r="E9" s="50">
        <f>IF(ISNUMBER(D9),IF(D9&gt;=B9,"On Target","Below Target"),"-")</f>
        <v/>
      </c>
      <c r="F9" s="50" t="inlineStr">
        <is>
          <t>Annual KPI - see Stock Accuracy by Year table</t>
        </is>
      </c>
    </row>
    <row r="10" ht="15" customHeight="1" s="34">
      <c r="A10" s="46" t="inlineStr">
        <is>
          <t>Cycle Count</t>
        </is>
      </c>
      <c r="B10" s="47">
        <f>'KPI Schedule'!B7</f>
        <v/>
      </c>
      <c r="C10" s="48">
        <f>'KPI Schedule'!C7</f>
        <v/>
      </c>
      <c r="D10" s="49">
        <f>IF(Dashboard_Calc!K16="","No data",Dashboard_Calc!K16)</f>
        <v/>
      </c>
      <c r="E10" s="50">
        <f>IF(ISNUMBER(D10),IF(D10&gt;=B10,"On Target","Below Target"),"-")</f>
        <v/>
      </c>
      <c r="F10" s="49">
        <f>IFERROR(SUM(Dashboard_Calc!I5:I16)/SUM(Dashboard_Calc!J5:J16),"No data")</f>
        <v/>
      </c>
    </row>
    <row r="11" ht="15" customHeight="1" s="34">
      <c r="A11" s="46" t="inlineStr">
        <is>
          <t>Order Cut Off</t>
        </is>
      </c>
      <c r="B11" s="47">
        <f>'KPI Schedule'!B8</f>
        <v/>
      </c>
      <c r="C11" s="48">
        <f>'KPI Schedule'!C8</f>
        <v/>
      </c>
      <c r="D11" s="49">
        <f>IF(Dashboard_Calc!Q16="","No data",Dashboard_Calc!Q16)</f>
        <v/>
      </c>
      <c r="E11" s="50">
        <f>IF(ISNUMBER(D11),IF(D11&gt;=B11,"On Target","Below Target"),"-")</f>
        <v/>
      </c>
      <c r="F11" s="49">
        <f>IFERROR(SUM(Dashboard_Calc!O5:O16)/SUM(Dashboard_Calc!P5:P16),"No data")</f>
        <v/>
      </c>
    </row>
    <row r="12" ht="15" customHeight="1" s="34">
      <c r="A12" s="46" t="inlineStr">
        <is>
          <t>Order Accuracy by Unit</t>
        </is>
      </c>
      <c r="B12" s="47">
        <f>'KPI Schedule'!B9</f>
        <v/>
      </c>
      <c r="C12" s="48">
        <f>'KPI Schedule'!C9</f>
        <v/>
      </c>
      <c r="D12" s="49">
        <f>IF(Dashboard_Calc!W16="","No data",Dashboard_Calc!W16)</f>
        <v/>
      </c>
      <c r="E12" s="50">
        <f>IF(ISNUMBER(D12),IF(D12&gt;=B12,"On Target","Below Target"),"-")</f>
        <v/>
      </c>
      <c r="F12" s="49">
        <f>IFERROR(SUM(Dashboard_Calc!U5:U16)/SUM(Dashboard_Calc!V5:V16),"No data")</f>
        <v/>
      </c>
    </row>
    <row r="13" ht="15" customHeight="1" s="34">
      <c r="A13" s="46" t="inlineStr">
        <is>
          <t>Freight DIFOT</t>
        </is>
      </c>
      <c r="B13" s="47">
        <f>'KPI Schedule'!B10</f>
        <v/>
      </c>
      <c r="C13" s="48">
        <f>'KPI Schedule'!C10</f>
        <v/>
      </c>
      <c r="D13" s="49">
        <f>IF(Dashboard_Calc!AC16="","No data",Dashboard_Calc!AC16)</f>
        <v/>
      </c>
      <c r="E13" s="50">
        <f>IF(ISNUMBER(D13),IF(D13&gt;=B13,"On Target","Below Target"),"-")</f>
        <v/>
      </c>
      <c r="F13" s="49">
        <f>IFERROR(SUM(Dashboard_Calc!AA5:AA16)/SUM(Dashboard_Calc!AB5:AB16),"No data")</f>
        <v/>
      </c>
    </row>
  </sheetData>
  <conditionalFormatting sqref="E8:E13">
    <cfRule type="cellIs" rank="0" priority="2" equalAverage="0" operator="equal" aboveAverage="0" dxfId="0" text="" percent="0" bottom="0">
      <formula>"On Target"</formula>
    </cfRule>
    <cfRule type="cellIs" rank="0" priority="3" equalAverage="0" operator="equal" aboveAverage="0" dxfId="1" text="" percent="0" bottom="0">
      <formula>"Below Target"</formula>
    </cfRule>
  </conditionalFormatting>
  <dataValidations count="1">
    <dataValidation sqref="C4" showDropDown="0" showInputMessage="0" showErrorMessage="0" allowBlank="0" type="list" errorStyle="stop" operator="between">
      <formula1>Customers!$A$4:$A$20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6" customWidth="1" style="39" min="1" max="1"/>
    <col width="18" customWidth="1" style="39" min="2" max="2"/>
  </cols>
  <sheetData>
    <row r="1" ht="21.75" customHeight="1" s="34">
      <c r="A1" s="40" t="inlineStr">
        <is>
          <t>Fulfilment Plus</t>
        </is>
      </c>
    </row>
    <row r="2" ht="15" customHeight="1" s="34">
      <c r="A2" s="41" t="inlineStr">
        <is>
          <t>Rolling 12-Month KPI Trends</t>
        </is>
      </c>
    </row>
    <row r="4" ht="15" customHeight="1" s="34">
      <c r="A4" s="42" t="inlineStr">
        <is>
          <t>Customer:</t>
        </is>
      </c>
      <c r="B4" s="51">
        <f>Dashboard!C4</f>
        <v/>
      </c>
    </row>
    <row r="5" ht="15" customHeight="1" s="34">
      <c r="A5" s="42" t="inlineStr">
        <is>
          <t>Report Month:</t>
        </is>
      </c>
      <c r="B5" s="44">
        <f>Dashboard!C5</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F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39" min="1" max="1"/>
    <col width="95" customWidth="1" style="39" min="2" max="2"/>
    <col width="14" customWidth="1" style="39" min="3" max="6"/>
  </cols>
  <sheetData>
    <row r="1" ht="17.25" customHeight="1" s="34">
      <c r="A1" s="52" t="inlineStr">
        <is>
          <t>Fulfilment Plus - Customer KPI Dashboard</t>
        </is>
      </c>
    </row>
    <row r="2" ht="15" customHeight="1" s="34">
      <c r="A2" s="42" t="inlineStr">
        <is>
          <t>Structure of this workbook</t>
        </is>
      </c>
    </row>
    <row r="4" ht="48" customHeight="1" s="34">
      <c r="A4" s="53" t="inlineStr">
        <is>
          <t>KPI Schedule</t>
        </is>
      </c>
      <c r="B4" s="54" t="inlineStr">
        <is>
          <t>Reference tab - the official KPI targets, measures and notes (from the Fulfilment Plus KPI Schedule).</t>
        </is>
      </c>
    </row>
    <row r="5" ht="48" customHeight="1" s="34">
      <c r="A5" s="53" t="inlineStr">
        <is>
          <t>Customers</t>
        </is>
      </c>
      <c r="B5" s="54" t="inlineStr">
        <is>
          <t>List of customer names. Add new customers here - they will automatically appear in the Dashboard dropdown.</t>
        </is>
      </c>
    </row>
    <row r="6" ht="48" customHeight="1" s="34">
      <c r="A6" s="53" t="inlineStr">
        <is>
          <t>KPI_Data</t>
        </is>
      </c>
      <c r="B6" s="54" t="inlineStr">
        <is>
          <t>The master data table. One row per Customer / Month / KPI (and Carrier for Freight DIFOT). This is the table that should be appended to each month with results pulled from CartonCloud / Starshipit (or entered manually for Stock Accuracy / Cycle Count if those remain manual processes). Rolling 12-month and all-time history both come from this single table - just keep adding rows.</t>
        </is>
      </c>
    </row>
    <row r="7" ht="48" customHeight="1" s="34">
      <c r="A7" s="53" t="inlineStr">
        <is>
          <t>Dashboard_Calc</t>
        </is>
      </c>
      <c r="B7" s="54" t="inlineStr">
        <is>
          <t>Hidden helper tab. Contains the formulas that pull the last 12 months of data for the customer selected on the Dashboard. You shouldn't need to edit this.</t>
        </is>
      </c>
    </row>
    <row r="8" ht="48" customHeight="1" s="34">
      <c r="A8" s="53" t="inlineStr">
        <is>
          <t>Dashboard</t>
        </is>
      </c>
      <c r="B8" s="54" t="inlineStr">
        <is>
          <t>The customer-facing view. Pick a customer from the dropdown and the KPI summary table updates automatically.</t>
        </is>
      </c>
    </row>
    <row r="9" ht="48" customHeight="1" s="34">
      <c r="A9" s="53" t="inlineStr">
        <is>
          <t>Charts</t>
        </is>
      </c>
      <c r="B9" s="54" t="inlineStr">
        <is>
          <t>Rolling 12-month trend charts (and DIFOT-by-carrier / Stock Accuracy-by-year charts) for the customer selected on the Dashboard tab.</t>
        </is>
      </c>
    </row>
    <row r="11" ht="15" customHeight="1" s="34">
      <c r="A11" s="42" t="inlineStr">
        <is>
          <t>How to add a new month of data</t>
        </is>
      </c>
    </row>
    <row r="12" ht="30" customHeight="1" s="34">
      <c r="A12" s="54" t="inlineStr">
        <is>
          <t>1. Pull the relevant figures from CartonCloud (Inbound/Outbound Orders, Stock on Hand reports) and Starshipit (Tracking).</t>
        </is>
      </c>
    </row>
    <row r="13" ht="30" customHeight="1" s="34">
      <c r="A13" s="54" t="inlineStr">
        <is>
          <t>2. Add one new row to KPI_Data for each Customer x KPI (and Carrier, for Freight DIFOT) for the new month.</t>
        </is>
      </c>
    </row>
    <row r="14" ht="30" customHeight="1" s="34">
      <c r="A14" s="54" t="inlineStr">
        <is>
          <t>3. Enter the Numerator and Denominator - the Actual % and Met Target columns are formulas and will calculate automatically.</t>
        </is>
      </c>
    </row>
    <row r="15" ht="30" customHeight="1" s="34">
      <c r="A15" s="54" t="inlineStr">
        <is>
          <t>4. The Dashboard will automatically include the new month in the rolling 12-month view (it always shows the latest 12 months in the data).</t>
        </is>
      </c>
    </row>
    <row r="16" ht="30" customHeight="1" s="34">
      <c r="A16" s="54" t="inlineStr">
        <is>
          <t>5. To send a customer their report, select them on the Dashboard and export/print that sheet (or save a PDF copy).</t>
        </is>
      </c>
    </row>
    <row r="18" ht="15" customHeight="1" s="34">
      <c r="A18" s="42" t="inlineStr">
        <is>
          <t>Sample data note</t>
        </is>
      </c>
    </row>
    <row r="19" ht="60" customHeight="1" s="34">
      <c r="A19" s="54" t="inlineStr">
        <is>
          <t>KPI_Data currently contains illustrative SAMPLE data for two example customers (Acme Foods Ltd, BrightWear NZ) covering Jul-2024 to Jun-2026, so the dashboard and charts can be reviewed end-to-end. Replace/delete this sample data once real data is being loaded.</t>
        </is>
      </c>
    </row>
  </sheetData>
  <mergeCells count="6">
    <mergeCell ref="A16:F16"/>
    <mergeCell ref="A13:F13"/>
    <mergeCell ref="A14:F14"/>
    <mergeCell ref="A19:F19"/>
    <mergeCell ref="A12:F12"/>
    <mergeCell ref="A15:F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39" min="1" max="1"/>
    <col width="10" customWidth="1" style="39" min="2" max="2"/>
    <col width="12" customWidth="1" style="39" min="3" max="3"/>
    <col width="32" customWidth="1" style="39" min="4" max="4"/>
    <col width="55" customWidth="1" style="39" min="5" max="5"/>
  </cols>
  <sheetData>
    <row r="1" ht="17.25" customHeight="1" s="34">
      <c r="A1" s="52" t="inlineStr">
        <is>
          <t>Fulfilment Plus KPI Schedule</t>
        </is>
      </c>
    </row>
    <row r="2" ht="15" customHeight="1" s="34">
      <c r="A2" s="55" t="inlineStr">
        <is>
          <t>Source: Fulfilment Plus KPI Schedule 2025</t>
        </is>
      </c>
    </row>
    <row r="4" ht="15" customHeight="1" s="34">
      <c r="A4" s="45" t="inlineStr">
        <is>
          <t>KPI</t>
        </is>
      </c>
      <c r="B4" s="45" t="inlineStr">
        <is>
          <t>Target</t>
        </is>
      </c>
      <c r="C4" s="45" t="inlineStr">
        <is>
          <t>Frequency</t>
        </is>
      </c>
      <c r="D4" s="45" t="inlineStr">
        <is>
          <t>Measure</t>
        </is>
      </c>
      <c r="E4" s="45" t="inlineStr">
        <is>
          <t>Notes</t>
        </is>
      </c>
    </row>
    <row r="5" ht="48" customHeight="1" s="34">
      <c r="A5" s="56" t="inlineStr">
        <is>
          <t>Dock to Stock</t>
        </is>
      </c>
      <c r="B5" s="57" t="n">
        <v>0.95</v>
      </c>
      <c r="C5" s="58" t="inlineStr">
        <is>
          <t>Monthly</t>
        </is>
      </c>
      <c r="D5" s="59" t="inlineStr">
        <is>
          <t>Shipments processed in 48hrs</t>
        </is>
      </c>
      <c r="E5" s="59" t="inlineStr">
        <is>
          <t>Measured Monthly. Max 3 shipments per day. All docs must be available before arrival.</t>
        </is>
      </c>
    </row>
    <row r="6" ht="48" customHeight="1" s="34">
      <c r="A6" s="56" t="inlineStr">
        <is>
          <t>Stock Accuracy</t>
        </is>
      </c>
      <c r="B6" s="57" t="n">
        <v>0.995</v>
      </c>
      <c r="C6" s="58" t="inlineStr">
        <is>
          <t>Annual</t>
        </is>
      </c>
      <c r="D6" s="59" t="inlineStr">
        <is>
          <t>Stock Accuracy as a percentage of throughput</t>
        </is>
      </c>
      <c r="E6" s="59" t="inlineStr">
        <is>
          <t>Measured Annually based on an annual stock take. Warehouse related issues only.</t>
        </is>
      </c>
    </row>
    <row r="7" ht="48" customHeight="1" s="34">
      <c r="A7" s="56" t="inlineStr">
        <is>
          <t>Cycle Count</t>
        </is>
      </c>
      <c r="B7" s="57" t="n">
        <v>0.995</v>
      </c>
      <c r="C7" s="58" t="inlineStr">
        <is>
          <t>Monthly</t>
        </is>
      </c>
      <c r="D7" s="59" t="inlineStr">
        <is>
          <t>Monthly count</t>
        </is>
      </c>
      <c r="E7" s="59" t="inlineStr">
        <is>
          <t>Measured Monthly. Counts are performed through the month.</t>
        </is>
      </c>
    </row>
    <row r="8" ht="48" customHeight="1" s="34">
      <c r="A8" s="56" t="inlineStr">
        <is>
          <t>Order Cut Off</t>
        </is>
      </c>
      <c r="B8" s="57" t="n">
        <v>0.95</v>
      </c>
      <c r="C8" s="58" t="inlineStr">
        <is>
          <t>Monthly</t>
        </is>
      </c>
      <c r="D8" s="59" t="inlineStr">
        <is>
          <t>Orders in by 2pm will be ready for despatch same day</t>
        </is>
      </c>
      <c r="E8" s="59" t="inlineStr">
        <is>
          <t>Measured Monthly based on forecast and a steady order flow.</t>
        </is>
      </c>
    </row>
    <row r="9" ht="48" customHeight="1" s="34">
      <c r="A9" s="56" t="inlineStr">
        <is>
          <t>Order Accuracy by Unit</t>
        </is>
      </c>
      <c r="B9" s="57" t="n">
        <v>0.995</v>
      </c>
      <c r="C9" s="58" t="inlineStr">
        <is>
          <t>Monthly</t>
        </is>
      </c>
      <c r="D9" s="59" t="inlineStr">
        <is>
          <t>Issues vs units despatched</t>
        </is>
      </c>
      <c r="E9" s="59" t="inlineStr">
        <is>
          <t>Measured Monthly. Issues need to be lodged and investigated.</t>
        </is>
      </c>
    </row>
    <row r="10" ht="48" customHeight="1" s="34">
      <c r="A10" s="56" t="inlineStr">
        <is>
          <t>Freight DIFOT</t>
        </is>
      </c>
      <c r="B10" s="57" t="n">
        <v>0.95</v>
      </c>
      <c r="C10" s="58" t="inlineStr">
        <is>
          <t>Monthly</t>
        </is>
      </c>
      <c r="D10" s="59" t="inlineStr">
        <is>
          <t>Consignments delivered on time</t>
        </is>
      </c>
      <c r="E10" s="59" t="inlineStr">
        <is>
          <t>Measured Monthly based on carrier milestones. Separated by carrier.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2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8" customWidth="1" style="39" min="1" max="1"/>
  </cols>
  <sheetData>
    <row r="1" ht="17.25" customHeight="1" s="34">
      <c r="A1" s="52" t="inlineStr">
        <is>
          <t>Customers</t>
        </is>
      </c>
    </row>
    <row r="3" ht="15" customHeight="1" s="34">
      <c r="A3" s="45" t="inlineStr">
        <is>
          <t>Customer Name</t>
        </is>
      </c>
    </row>
    <row r="4" ht="15" customHeight="1" s="34">
      <c r="A4" s="48" t="inlineStr">
        <is>
          <t>Aleger Studio</t>
        </is>
      </c>
    </row>
    <row r="5" ht="15" customHeight="1" s="34">
      <c r="A5" s="39" t="inlineStr">
        <is>
          <t>Baking Tech</t>
        </is>
      </c>
    </row>
    <row r="6" ht="15" customHeight="1" s="34">
      <c r="A6" s="48" t="inlineStr">
        <is>
          <t>Coromandel Mountains Company Limited</t>
        </is>
      </c>
    </row>
    <row r="7" ht="15" customHeight="1" s="34">
      <c r="A7" s="39" t="inlineStr">
        <is>
          <t>Cotton Soft  - Christchurch</t>
        </is>
      </c>
    </row>
    <row r="8" ht="15" customHeight="1" s="34">
      <c r="A8" s="39" t="inlineStr">
        <is>
          <t>EcoPallets</t>
        </is>
      </c>
    </row>
    <row r="9" ht="15" customHeight="1" s="34">
      <c r="A9" s="48" t="inlineStr">
        <is>
          <t>Flo &amp; Frankie</t>
        </is>
      </c>
    </row>
    <row r="10" ht="15" customHeight="1" s="34">
      <c r="A10" s="39" t="inlineStr">
        <is>
          <t>Geodis</t>
        </is>
      </c>
    </row>
    <row r="11" ht="15" customHeight="1" s="34">
      <c r="A11" s="48" t="inlineStr">
        <is>
          <t>Gym Equip</t>
        </is>
      </c>
    </row>
    <row r="12" ht="15" customHeight="1" s="34">
      <c r="A12" s="48" t="inlineStr">
        <is>
          <t>Interior Images</t>
        </is>
      </c>
    </row>
    <row r="13" ht="15" customHeight="1" s="34">
      <c r="A13" s="48" t="inlineStr">
        <is>
          <t>Jock Freight - SECA</t>
        </is>
      </c>
    </row>
    <row r="14" ht="15" customHeight="1" s="34">
      <c r="A14" s="48" t="inlineStr">
        <is>
          <t>Logwin - Sikla</t>
        </is>
      </c>
    </row>
    <row r="15" ht="15" customHeight="1" s="34">
      <c r="A15" s="48" t="inlineStr">
        <is>
          <t>Made Group NZ</t>
        </is>
      </c>
    </row>
    <row r="16" ht="15" customHeight="1" s="34">
      <c r="A16" s="39" t="inlineStr">
        <is>
          <t>Madigan Freight Services</t>
        </is>
      </c>
    </row>
    <row r="17" ht="15" customHeight="1" s="34">
      <c r="A17" s="48" t="inlineStr">
        <is>
          <t>May Eleven NZ</t>
        </is>
      </c>
    </row>
    <row r="18" ht="15" customHeight="1" s="34">
      <c r="A18" s="39" t="inlineStr">
        <is>
          <t>Method Global</t>
        </is>
      </c>
    </row>
    <row r="19" ht="15" customHeight="1" s="34">
      <c r="A19" s="48" t="inlineStr">
        <is>
          <t>MR Shoes Limited</t>
        </is>
      </c>
    </row>
    <row r="20" ht="15" customHeight="1" s="34">
      <c r="A20" s="39" t="inlineStr">
        <is>
          <t>Oceanbridge</t>
        </is>
      </c>
    </row>
    <row r="21">
      <c r="A21" s="39" t="inlineStr">
        <is>
          <t>Oricom</t>
        </is>
      </c>
    </row>
    <row r="22">
      <c r="A22" s="39" t="inlineStr">
        <is>
          <t>Purify Me</t>
        </is>
      </c>
    </row>
    <row r="23">
      <c r="A23" s="39" t="inlineStr">
        <is>
          <t>Purus / Purple Universe</t>
        </is>
      </c>
    </row>
    <row r="24">
      <c r="A24" s="39" t="inlineStr">
        <is>
          <t>Salt Shark</t>
        </is>
      </c>
    </row>
    <row r="25">
      <c r="A25" s="39" t="inlineStr">
        <is>
          <t>Samsung Batteries CP</t>
        </is>
      </c>
    </row>
    <row r="26">
      <c r="A26" s="39" t="inlineStr">
        <is>
          <t>Simply Clean</t>
        </is>
      </c>
    </row>
    <row r="27">
      <c r="A27" s="39" t="inlineStr">
        <is>
          <t>Stryx</t>
        </is>
      </c>
    </row>
    <row r="28">
      <c r="A28" s="39" t="inlineStr">
        <is>
          <t>Tesx</t>
        </is>
      </c>
    </row>
    <row r="29">
      <c r="A29" s="39" t="inlineStr">
        <is>
          <t>Vixxen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J30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2" customWidth="1" style="39" min="1" max="1"/>
    <col width="18" customWidth="1" style="39" min="2" max="2"/>
    <col width="22" customWidth="1" style="39" min="3" max="3"/>
    <col width="16" customWidth="1" style="39" min="4" max="4"/>
    <col width="10" customWidth="1" style="39" min="5" max="5"/>
    <col width="12" customWidth="1" style="39" min="6" max="6"/>
    <col width="13" customWidth="1" style="39" min="7" max="7"/>
    <col width="11" customWidth="1" style="39" min="8" max="8"/>
    <col width="12" customWidth="1" style="39" min="9" max="9"/>
    <col width="50" customWidth="1" style="39" min="10" max="10"/>
  </cols>
  <sheetData>
    <row r="1" ht="17.25" customHeight="1" s="34">
      <c r="A1" s="52" t="inlineStr">
        <is>
          <t>KPI_Data - master results table (append one row per Customer / Month / KPI / Carrier)</t>
        </is>
      </c>
    </row>
    <row r="3" ht="26.25" customHeight="1" s="34">
      <c r="A3" s="45" t="inlineStr">
        <is>
          <t>Month</t>
        </is>
      </c>
      <c r="B3" s="45" t="inlineStr">
        <is>
          <t>Customer</t>
        </is>
      </c>
      <c r="C3" s="45" t="inlineStr">
        <is>
          <t>KPI</t>
        </is>
      </c>
      <c r="D3" s="45" t="inlineStr">
        <is>
          <t>Carrier</t>
        </is>
      </c>
      <c r="E3" s="45" t="inlineStr">
        <is>
          <t>Target</t>
        </is>
      </c>
      <c r="F3" s="45" t="inlineStr">
        <is>
          <t>Numerator</t>
        </is>
      </c>
      <c r="G3" s="45" t="inlineStr">
        <is>
          <t>Denominator</t>
        </is>
      </c>
      <c r="H3" s="45" t="inlineStr">
        <is>
          <t>Actual %</t>
        </is>
      </c>
      <c r="I3" s="45" t="inlineStr">
        <is>
          <t>Met Target?</t>
        </is>
      </c>
      <c r="J3" s="45" t="inlineStr">
        <is>
          <t>Notes / Action Plan</t>
        </is>
      </c>
    </row>
    <row r="4" ht="15" customHeight="1" s="34">
      <c r="A4" s="60" t="n">
        <v>46143</v>
      </c>
      <c r="B4" s="39" t="inlineStr">
        <is>
          <t>Aleger Studio</t>
        </is>
      </c>
      <c r="C4" s="39" t="inlineStr">
        <is>
          <t>Dock to Stock</t>
        </is>
      </c>
      <c r="E4" s="61" t="n">
        <v>0.95</v>
      </c>
      <c r="F4" s="39" t="n">
        <v>1</v>
      </c>
      <c r="G4" s="39" t="n">
        <v>1</v>
      </c>
      <c r="H4" s="61">
        <f>F88/G88</f>
        <v/>
      </c>
      <c r="I4" s="39">
        <f>IF(H88&gt;=E88,"Yes","No")</f>
        <v/>
      </c>
    </row>
    <row r="5" ht="15" customHeight="1" s="34">
      <c r="A5" s="60" t="n">
        <v>46143</v>
      </c>
      <c r="B5" s="39" t="inlineStr">
        <is>
          <t>Coromandel Mountains Company Limited</t>
        </is>
      </c>
      <c r="C5" s="39" t="inlineStr">
        <is>
          <t>Dock to Stock</t>
        </is>
      </c>
      <c r="E5" s="61" t="n">
        <v>0.95</v>
      </c>
      <c r="F5" s="39" t="n">
        <v>2</v>
      </c>
      <c r="G5" s="39" t="n">
        <v>3</v>
      </c>
      <c r="H5" s="61">
        <f>F89/G89</f>
        <v/>
      </c>
      <c r="I5" s="39">
        <f>IF(H89&gt;=E89,"Yes","No")</f>
        <v/>
      </c>
      <c r="J5" s="39" t="inlineStr">
        <is>
          <t>Below target - investigate root cause and add to next month's action plan</t>
        </is>
      </c>
    </row>
    <row r="6" ht="15" customHeight="1" s="34">
      <c r="A6" s="60" t="n">
        <v>46143</v>
      </c>
      <c r="B6" s="39" t="inlineStr">
        <is>
          <t>Interior Images</t>
        </is>
      </c>
      <c r="C6" s="39" t="inlineStr">
        <is>
          <t>Dock to Stock</t>
        </is>
      </c>
      <c r="E6" s="61" t="n">
        <v>0.95</v>
      </c>
      <c r="F6" s="39" t="n">
        <v>2</v>
      </c>
      <c r="G6" s="39" t="n">
        <v>3</v>
      </c>
      <c r="H6" s="61">
        <f>F90/G90</f>
        <v/>
      </c>
      <c r="I6" s="39">
        <f>IF(H90&gt;=E90,"Yes","No")</f>
        <v/>
      </c>
      <c r="J6" s="39" t="inlineStr">
        <is>
          <t>Below target - investigate root cause and add to next month's action plan</t>
        </is>
      </c>
    </row>
    <row r="7" ht="15" customHeight="1" s="34">
      <c r="A7" s="60" t="n">
        <v>46143</v>
      </c>
      <c r="B7" s="39" t="inlineStr">
        <is>
          <t>Jock Freight - SECA</t>
        </is>
      </c>
      <c r="C7" s="39" t="inlineStr">
        <is>
          <t>Dock to Stock</t>
        </is>
      </c>
      <c r="E7" s="61" t="n">
        <v>0.95</v>
      </c>
      <c r="F7" s="39" t="n">
        <v>3</v>
      </c>
      <c r="G7" s="39" t="n">
        <v>4</v>
      </c>
      <c r="H7" s="61">
        <f>F91/G91</f>
        <v/>
      </c>
      <c r="I7" s="39">
        <f>IF(H91&gt;=E91,"Yes","No")</f>
        <v/>
      </c>
      <c r="J7" s="39" t="inlineStr">
        <is>
          <t>Below target - investigate root cause and add to next month's action plan</t>
        </is>
      </c>
    </row>
    <row r="8" ht="15" customHeight="1" s="34">
      <c r="A8" s="60" t="n">
        <v>46143</v>
      </c>
      <c r="B8" s="39" t="inlineStr">
        <is>
          <t>Logwin - Sikla</t>
        </is>
      </c>
      <c r="C8" s="39" t="inlineStr">
        <is>
          <t>Dock to Stock</t>
        </is>
      </c>
      <c r="E8" s="61" t="n">
        <v>0.95</v>
      </c>
      <c r="F8" s="39" t="n">
        <v>0</v>
      </c>
      <c r="G8" s="39" t="n">
        <v>2</v>
      </c>
      <c r="H8" s="61">
        <f>F92/G92</f>
        <v/>
      </c>
      <c r="I8" s="39">
        <f>IF(H92&gt;=E92,"Yes","No")</f>
        <v/>
      </c>
      <c r="J8" s="39" t="inlineStr">
        <is>
          <t>Below target - investigate root cause and add to next month's action plan</t>
        </is>
      </c>
    </row>
    <row r="9" ht="15" customHeight="1" s="34">
      <c r="A9" s="60" t="n">
        <v>46143</v>
      </c>
      <c r="B9" s="39" t="inlineStr">
        <is>
          <t>Made Group NZ</t>
        </is>
      </c>
      <c r="C9" s="39" t="inlineStr">
        <is>
          <t>Dock to Stock</t>
        </is>
      </c>
      <c r="E9" s="61" t="n">
        <v>0.95</v>
      </c>
      <c r="F9" s="39" t="n">
        <v>0</v>
      </c>
      <c r="G9" s="39" t="n">
        <v>10</v>
      </c>
      <c r="H9" s="61">
        <f>F93/G93</f>
        <v/>
      </c>
      <c r="I9" s="39">
        <f>IF(H93&gt;=E93,"Yes","No")</f>
        <v/>
      </c>
      <c r="J9" s="39" t="inlineStr">
        <is>
          <t>Below target - investigate root cause and add to next month's action plan</t>
        </is>
      </c>
    </row>
    <row r="10" ht="15" customHeight="1" s="34">
      <c r="A10" s="60" t="n">
        <v>46143</v>
      </c>
      <c r="B10" s="39" t="inlineStr">
        <is>
          <t>May Eleven NZ</t>
        </is>
      </c>
      <c r="C10" s="39" t="inlineStr">
        <is>
          <t>Dock to Stock</t>
        </is>
      </c>
      <c r="E10" s="61" t="n">
        <v>0.95</v>
      </c>
      <c r="F10" s="39" t="n">
        <v>1</v>
      </c>
      <c r="G10" s="39" t="n">
        <v>1</v>
      </c>
      <c r="H10" s="61">
        <f>F94/G94</f>
        <v/>
      </c>
      <c r="I10" s="39">
        <f>IF(H94&gt;=E94,"Yes","No")</f>
        <v/>
      </c>
    </row>
    <row r="11" ht="15" customHeight="1" s="34">
      <c r="A11" s="60" t="n">
        <v>46143</v>
      </c>
      <c r="B11" s="39" t="inlineStr">
        <is>
          <t>Oricom</t>
        </is>
      </c>
      <c r="C11" s="39" t="inlineStr">
        <is>
          <t>Dock to Stock</t>
        </is>
      </c>
      <c r="E11" s="61" t="n">
        <v>0.95</v>
      </c>
      <c r="F11" s="39" t="n">
        <v>0</v>
      </c>
      <c r="G11" s="39" t="n">
        <v>1</v>
      </c>
      <c r="H11" s="61">
        <f>F11/G11</f>
        <v/>
      </c>
      <c r="I11" s="39">
        <f>IF(H11&gt;=E11,"Yes","No")</f>
        <v/>
      </c>
      <c r="J11" s="39" t="inlineStr">
        <is>
          <t>Below target - investigate root cause and add to next month's action plan</t>
        </is>
      </c>
    </row>
    <row r="12" ht="15" customHeight="1" s="34">
      <c r="A12" s="60" t="n">
        <v>46143</v>
      </c>
      <c r="B12" s="39" t="inlineStr">
        <is>
          <t>Salt Shark</t>
        </is>
      </c>
      <c r="C12" s="39" t="inlineStr">
        <is>
          <t>Dock to Stock</t>
        </is>
      </c>
      <c r="E12" s="61" t="n">
        <v>0.95</v>
      </c>
      <c r="F12" s="39" t="n">
        <v>5</v>
      </c>
      <c r="G12" s="39" t="n">
        <v>5</v>
      </c>
      <c r="H12" s="61">
        <f>F95/G95</f>
        <v/>
      </c>
      <c r="I12" s="39">
        <f>IF(H95&gt;=E95,"Yes","No")</f>
        <v/>
      </c>
    </row>
    <row r="13" ht="15" customHeight="1" s="34">
      <c r="A13" s="60" t="n">
        <v>46143</v>
      </c>
      <c r="B13" s="39" t="inlineStr">
        <is>
          <t>Stryx</t>
        </is>
      </c>
      <c r="C13" s="39" t="inlineStr">
        <is>
          <t>Dock to Stock</t>
        </is>
      </c>
      <c r="E13" s="61" t="n">
        <v>0.95</v>
      </c>
      <c r="F13" s="39" t="n">
        <v>1</v>
      </c>
      <c r="G13" s="39" t="n">
        <v>1</v>
      </c>
      <c r="H13" s="61">
        <f>F96/G96</f>
        <v/>
      </c>
      <c r="I13" s="39">
        <f>IF(H96&gt;=E96,"Yes","No")</f>
        <v/>
      </c>
    </row>
    <row r="14" ht="15" customHeight="1" s="34">
      <c r="A14" s="60" t="n">
        <v>46143</v>
      </c>
      <c r="B14" s="39" t="inlineStr">
        <is>
          <t>Vixxen</t>
        </is>
      </c>
      <c r="C14" s="39" t="inlineStr">
        <is>
          <t>Dock to Stock</t>
        </is>
      </c>
      <c r="E14" s="61" t="n">
        <v>0.95</v>
      </c>
      <c r="F14" s="39" t="n">
        <v>3</v>
      </c>
      <c r="G14" s="39" t="n">
        <v>4</v>
      </c>
      <c r="H14" s="61">
        <f>F97/G97</f>
        <v/>
      </c>
      <c r="I14" s="39">
        <f>IF(H97&gt;=E97,"Yes","No")</f>
        <v/>
      </c>
      <c r="J14" s="39" t="inlineStr">
        <is>
          <t>Below target - investigate root cause and add to next month's action plan</t>
        </is>
      </c>
    </row>
    <row r="15" ht="15" customHeight="1" s="34">
      <c r="A15" s="60" t="n">
        <v>46143</v>
      </c>
      <c r="B15" s="39" t="inlineStr">
        <is>
          <t>Aleger Studio</t>
        </is>
      </c>
      <c r="C15" s="39" t="inlineStr">
        <is>
          <t>Order Cut Off</t>
        </is>
      </c>
      <c r="E15" s="61" t="n">
        <v>0.95</v>
      </c>
      <c r="F15" s="39" t="n">
        <v>8</v>
      </c>
      <c r="G15" s="39" t="n">
        <v>8</v>
      </c>
      <c r="H15" s="61">
        <f>F98/G98</f>
        <v/>
      </c>
      <c r="I15" s="39">
        <f>IF(H98&gt;=E98,"Yes","No")</f>
        <v/>
      </c>
    </row>
    <row r="16" ht="15" customHeight="1" s="34">
      <c r="A16" s="60" t="n">
        <v>46143</v>
      </c>
      <c r="B16" s="39" t="inlineStr">
        <is>
          <t>Coromandel Mountains Company Limited</t>
        </is>
      </c>
      <c r="C16" s="39" t="inlineStr">
        <is>
          <t>Order Cut Off</t>
        </is>
      </c>
      <c r="E16" s="61" t="n">
        <v>0.95</v>
      </c>
      <c r="F16" s="39" t="n">
        <v>3</v>
      </c>
      <c r="G16" s="39" t="n">
        <v>6</v>
      </c>
      <c r="H16" s="61">
        <f>F99/G99</f>
        <v/>
      </c>
      <c r="I16" s="39">
        <f>IF(H99&gt;=E99,"Yes","No")</f>
        <v/>
      </c>
      <c r="J16" s="39" t="inlineStr">
        <is>
          <t>Below target - investigate root cause and add to next month's action plan</t>
        </is>
      </c>
    </row>
    <row r="17" ht="15" customHeight="1" s="34">
      <c r="A17" s="60" t="n">
        <v>46143</v>
      </c>
      <c r="B17" s="39" t="inlineStr">
        <is>
          <t>Interior Images</t>
        </is>
      </c>
      <c r="C17" s="39" t="inlineStr">
        <is>
          <t>Order Cut Off</t>
        </is>
      </c>
      <c r="E17" s="61" t="n">
        <v>0.95</v>
      </c>
      <c r="F17" s="39" t="n">
        <v>1</v>
      </c>
      <c r="G17" s="39" t="n">
        <v>2</v>
      </c>
      <c r="H17" s="61">
        <f>F100/G100</f>
        <v/>
      </c>
      <c r="I17" s="39">
        <f>IF(H100&gt;=E100,"Yes","No")</f>
        <v/>
      </c>
      <c r="J17" s="39" t="inlineStr">
        <is>
          <t>Below target - investigate root cause and add to next month's action plan</t>
        </is>
      </c>
    </row>
    <row r="18" ht="15" customHeight="1" s="34">
      <c r="A18" s="60" t="n">
        <v>46143</v>
      </c>
      <c r="B18" s="39" t="inlineStr">
        <is>
          <t>Jock Freight - SECA</t>
        </is>
      </c>
      <c r="C18" s="39" t="inlineStr">
        <is>
          <t>Order Cut Off</t>
        </is>
      </c>
      <c r="E18" s="61" t="n">
        <v>0.95</v>
      </c>
      <c r="F18" s="39" t="n">
        <v>5</v>
      </c>
      <c r="G18" s="39" t="n">
        <v>12</v>
      </c>
      <c r="H18" s="61">
        <f>F101/G101</f>
        <v/>
      </c>
      <c r="I18" s="39">
        <f>IF(H101&gt;=E101,"Yes","No")</f>
        <v/>
      </c>
      <c r="J18" s="39" t="inlineStr">
        <is>
          <t>Below target - investigate root cause and add to next month's action plan</t>
        </is>
      </c>
    </row>
    <row r="19" ht="15" customHeight="1" s="34">
      <c r="A19" s="60" t="n">
        <v>46143</v>
      </c>
      <c r="B19" s="39" t="inlineStr">
        <is>
          <t>Logwin - Sikla</t>
        </is>
      </c>
      <c r="C19" s="39" t="inlineStr">
        <is>
          <t>Order Cut Off</t>
        </is>
      </c>
      <c r="E19" s="61" t="n">
        <v>0.95</v>
      </c>
      <c r="F19" s="39" t="n">
        <v>2</v>
      </c>
      <c r="G19" s="39" t="n">
        <v>3</v>
      </c>
      <c r="H19" s="61">
        <f>F102/G102</f>
        <v/>
      </c>
      <c r="I19" s="39">
        <f>IF(H102&gt;=E102,"Yes","No")</f>
        <v/>
      </c>
      <c r="J19" s="39" t="inlineStr">
        <is>
          <t>Below target - investigate root cause and add to next month's action plan</t>
        </is>
      </c>
    </row>
    <row r="20" ht="15" customHeight="1" s="34">
      <c r="A20" s="60" t="n">
        <v>46143</v>
      </c>
      <c r="B20" s="39" t="inlineStr">
        <is>
          <t>May Eleven NZ</t>
        </is>
      </c>
      <c r="C20" s="39" t="inlineStr">
        <is>
          <t>Order Cut Off</t>
        </is>
      </c>
      <c r="E20" s="61" t="n">
        <v>0.95</v>
      </c>
      <c r="F20" s="39" t="n">
        <v>1</v>
      </c>
      <c r="G20" s="39" t="n">
        <v>1</v>
      </c>
      <c r="H20" s="61">
        <f>F103/G103</f>
        <v/>
      </c>
      <c r="I20" s="39">
        <f>IF(H103&gt;=E103,"Yes","No")</f>
        <v/>
      </c>
    </row>
    <row r="21" ht="15" customHeight="1" s="34">
      <c r="A21" s="60" t="n">
        <v>46143</v>
      </c>
      <c r="B21" s="39" t="inlineStr">
        <is>
          <t>Oricom</t>
        </is>
      </c>
      <c r="C21" s="39" t="inlineStr">
        <is>
          <t>Order Cut Off</t>
        </is>
      </c>
      <c r="E21" s="61" t="n">
        <v>0.95</v>
      </c>
      <c r="F21" s="39" t="n">
        <v>40</v>
      </c>
      <c r="G21" s="39" t="n">
        <v>51</v>
      </c>
      <c r="H21" s="61">
        <f>F104/G104</f>
        <v/>
      </c>
      <c r="I21" s="39">
        <f>IF(H104&gt;=E104,"Yes","No")</f>
        <v/>
      </c>
      <c r="J21" s="39" t="inlineStr">
        <is>
          <t>Below target - investigate root cause and add to next month's action plan</t>
        </is>
      </c>
    </row>
    <row r="22" ht="15" customHeight="1" s="34">
      <c r="A22" s="60" t="n">
        <v>46143</v>
      </c>
      <c r="B22" s="39" t="inlineStr">
        <is>
          <t>Salt Shark</t>
        </is>
      </c>
      <c r="C22" s="39" t="inlineStr">
        <is>
          <t>Order Cut Off</t>
        </is>
      </c>
      <c r="E22" s="61" t="n">
        <v>0.95</v>
      </c>
      <c r="F22" s="39" t="n">
        <v>25</v>
      </c>
      <c r="G22" s="39" t="n">
        <v>79</v>
      </c>
      <c r="H22" s="61">
        <f>F105/G105</f>
        <v/>
      </c>
      <c r="I22" s="39">
        <f>IF(H105&gt;=E105,"Yes","No")</f>
        <v/>
      </c>
      <c r="J22" s="39" t="inlineStr">
        <is>
          <t>Below target - investigate root cause and add to next month's action plan</t>
        </is>
      </c>
    </row>
    <row r="23" ht="15" customHeight="1" s="34">
      <c r="A23" s="60" t="n">
        <v>46143</v>
      </c>
      <c r="B23" s="39" t="inlineStr">
        <is>
          <t>Vixxen</t>
        </is>
      </c>
      <c r="C23" s="39" t="inlineStr">
        <is>
          <t>Order Cut Off</t>
        </is>
      </c>
      <c r="E23" s="61" t="n">
        <v>0.95</v>
      </c>
      <c r="F23" s="39" t="n">
        <v>235</v>
      </c>
      <c r="G23" s="39" t="n">
        <v>298</v>
      </c>
      <c r="H23" s="61">
        <f>F106/G106</f>
        <v/>
      </c>
      <c r="I23" s="39">
        <f>IF(H106&gt;=E106,"Yes","No")</f>
        <v/>
      </c>
      <c r="J23" s="39" t="inlineStr">
        <is>
          <t>Below target - investigate root cause and add to next month's action plan</t>
        </is>
      </c>
    </row>
    <row r="24" ht="15" customHeight="1" s="34">
      <c r="A24" s="62" t="n">
        <v>46174</v>
      </c>
      <c r="B24" s="39" t="inlineStr">
        <is>
          <t>Oricom</t>
        </is>
      </c>
      <c r="C24" s="39" t="inlineStr">
        <is>
          <t>Stock Accuracy</t>
        </is>
      </c>
      <c r="E24" s="39" t="n">
        <v>0.995</v>
      </c>
      <c r="F24" s="39" t="n">
        <v>9994</v>
      </c>
      <c r="G24" s="39" t="n">
        <v>10000</v>
      </c>
      <c r="H24" s="39">
        <f>F24/G24</f>
        <v/>
      </c>
      <c r="I24" s="39">
        <f>IF(H24&gt;=E24,"Yes","No")</f>
        <v/>
      </c>
    </row>
    <row r="25" ht="15" customHeight="1" s="34">
      <c r="A25" s="73" t="n"/>
      <c r="B25" s="39" t="n"/>
      <c r="C25" s="39" t="n"/>
      <c r="E25" s="74" t="n"/>
      <c r="F25" s="39" t="n"/>
      <c r="G25" s="39" t="n"/>
      <c r="H25" s="74" t="n"/>
      <c r="I25" s="39" t="n"/>
      <c r="J25" s="39" t="n"/>
    </row>
    <row r="26" ht="15" customHeight="1" s="34">
      <c r="A26" s="73" t="n"/>
      <c r="B26" s="39" t="n"/>
      <c r="C26" s="39" t="n"/>
      <c r="E26" s="74" t="n"/>
      <c r="F26" s="39" t="n"/>
      <c r="G26" s="39" t="n"/>
      <c r="H26" s="74" t="n"/>
      <c r="I26" s="39" t="n"/>
      <c r="J26" s="39" t="n"/>
    </row>
    <row r="27" ht="15" customHeight="1" s="34">
      <c r="A27" s="73" t="n"/>
      <c r="B27" s="39" t="n"/>
      <c r="C27" s="39" t="n"/>
      <c r="E27" s="74" t="n"/>
      <c r="F27" s="39" t="n"/>
      <c r="G27" s="39" t="n"/>
      <c r="H27" s="74" t="n"/>
      <c r="I27" s="39" t="n"/>
    </row>
    <row r="28" ht="15" customHeight="1" s="34">
      <c r="A28" s="73" t="n"/>
      <c r="B28" s="39" t="n"/>
      <c r="C28" s="39" t="n"/>
      <c r="E28" s="74" t="n"/>
      <c r="F28" s="39" t="n"/>
      <c r="G28" s="39" t="n"/>
      <c r="H28" s="74" t="n"/>
      <c r="I28" s="39" t="n"/>
    </row>
    <row r="29" ht="15" customHeight="1" s="34">
      <c r="A29" s="73" t="n"/>
      <c r="B29" s="39" t="n"/>
      <c r="C29" s="39" t="n"/>
      <c r="E29" s="74" t="n"/>
      <c r="F29" s="39" t="n"/>
      <c r="G29" s="39" t="n"/>
      <c r="H29" s="74" t="n"/>
      <c r="I29" s="39" t="n"/>
    </row>
    <row r="30" ht="15" customHeight="1" s="34">
      <c r="A30" s="73" t="n"/>
      <c r="B30" s="39" t="n"/>
      <c r="C30" s="39" t="n"/>
      <c r="E30" s="74" t="n"/>
      <c r="F30" s="39" t="n"/>
      <c r="G30" s="39" t="n"/>
      <c r="H30" s="74" t="n"/>
      <c r="I30" s="39" t="n"/>
    </row>
    <row r="31" ht="15" customHeight="1" s="34">
      <c r="A31" s="73" t="n"/>
      <c r="B31" s="39" t="n"/>
      <c r="C31" s="39" t="n"/>
      <c r="E31" s="74" t="n"/>
      <c r="F31" s="39" t="n"/>
      <c r="G31" s="39" t="n"/>
      <c r="H31" s="74" t="n"/>
      <c r="I31" s="39" t="n"/>
    </row>
    <row r="32" ht="15" customHeight="1" s="34">
      <c r="A32" s="73" t="n"/>
      <c r="B32" s="39" t="n"/>
      <c r="C32" s="39" t="n"/>
      <c r="E32" s="74" t="n"/>
      <c r="F32" s="39" t="n"/>
      <c r="G32" s="39" t="n"/>
      <c r="H32" s="74" t="n"/>
      <c r="I32" s="39" t="n"/>
      <c r="J32" s="39" t="n"/>
    </row>
    <row r="33" ht="15" customHeight="1" s="34">
      <c r="A33" s="73" t="n"/>
      <c r="B33" s="39" t="n"/>
      <c r="C33" s="39" t="n"/>
      <c r="E33" s="74" t="n"/>
      <c r="F33" s="39" t="n"/>
      <c r="G33" s="39" t="n"/>
      <c r="H33" s="74" t="n"/>
      <c r="I33" s="39" t="n"/>
    </row>
    <row r="34" ht="15" customHeight="1" s="34">
      <c r="A34" s="73" t="n"/>
      <c r="B34" s="39" t="n"/>
      <c r="C34" s="39" t="n"/>
      <c r="E34" s="74" t="n"/>
      <c r="F34" s="39" t="n"/>
      <c r="G34" s="39" t="n"/>
      <c r="H34" s="74" t="n"/>
      <c r="I34" s="39" t="n"/>
      <c r="J34" s="39" t="n"/>
    </row>
    <row r="35" ht="15" customHeight="1" s="34">
      <c r="A35" s="73" t="n"/>
      <c r="B35" s="39" t="n"/>
      <c r="C35" s="39" t="n"/>
      <c r="E35" s="74" t="n"/>
      <c r="F35" s="39" t="n"/>
      <c r="G35" s="39" t="n"/>
      <c r="H35" s="74" t="n"/>
      <c r="I35" s="39" t="n"/>
      <c r="J35" s="39" t="n"/>
    </row>
    <row r="36" ht="15" customHeight="1" s="34">
      <c r="A36" s="73" t="n"/>
      <c r="B36" s="39" t="n"/>
      <c r="C36" s="39" t="n"/>
      <c r="E36" s="74" t="n"/>
      <c r="F36" s="39" t="n"/>
      <c r="G36" s="39" t="n"/>
      <c r="H36" s="74" t="n"/>
      <c r="I36" s="39" t="n"/>
      <c r="J36" s="39" t="n"/>
    </row>
    <row r="37" ht="15" customHeight="1" s="34">
      <c r="A37" s="73" t="n"/>
      <c r="B37" s="39" t="n"/>
      <c r="C37" s="39" t="n"/>
      <c r="E37" s="74" t="n"/>
      <c r="F37" s="39" t="n"/>
      <c r="G37" s="39" t="n"/>
      <c r="H37" s="74" t="n"/>
      <c r="I37" s="39" t="n"/>
      <c r="J37" s="39" t="n"/>
    </row>
    <row r="38" ht="15" customHeight="1" s="34">
      <c r="A38" s="73" t="n"/>
      <c r="B38" s="39" t="n"/>
      <c r="C38" s="39" t="n"/>
      <c r="E38" s="74" t="n"/>
      <c r="F38" s="39" t="n"/>
      <c r="G38" s="39" t="n"/>
      <c r="H38" s="74" t="n"/>
      <c r="I38" s="39" t="n"/>
      <c r="J38" s="39" t="n"/>
    </row>
    <row r="39" ht="15" customHeight="1" s="34">
      <c r="A39" s="73" t="n"/>
      <c r="B39" s="39" t="n"/>
      <c r="C39" s="39" t="n"/>
      <c r="E39" s="74" t="n"/>
      <c r="F39" s="39" t="n"/>
      <c r="G39" s="39" t="n"/>
      <c r="H39" s="74" t="n"/>
      <c r="I39" s="39" t="n"/>
      <c r="J39" s="39" t="n"/>
    </row>
    <row r="40" ht="15" customHeight="1" s="34">
      <c r="A40" s="73" t="n"/>
      <c r="B40" s="39" t="n"/>
      <c r="C40" s="39" t="n"/>
      <c r="E40" s="74" t="n"/>
      <c r="F40" s="39" t="n"/>
      <c r="G40" s="39" t="n"/>
      <c r="H40" s="74" t="n"/>
      <c r="I40" s="39" t="n"/>
      <c r="J40" s="39" t="n"/>
    </row>
    <row r="41" ht="15" customHeight="1" s="34">
      <c r="A41" s="73" t="n"/>
      <c r="B41" s="39" t="n"/>
      <c r="C41" s="39" t="n"/>
      <c r="E41" s="74" t="n"/>
      <c r="F41" s="39" t="n"/>
      <c r="G41" s="39" t="n"/>
      <c r="H41" s="74" t="n"/>
      <c r="I41" s="39" t="n"/>
      <c r="J41" s="39" t="n"/>
    </row>
    <row r="42" ht="15" customHeight="1" s="34">
      <c r="A42" s="73" t="n"/>
      <c r="B42" s="39" t="n"/>
      <c r="C42" s="39" t="n"/>
      <c r="E42" s="74" t="n"/>
      <c r="F42" s="39" t="n"/>
      <c r="G42" s="39" t="n"/>
      <c r="H42" s="74" t="n"/>
      <c r="I42" s="39" t="n"/>
    </row>
    <row r="43" ht="15" customHeight="1" s="34">
      <c r="A43" s="73" t="n"/>
      <c r="B43" s="39" t="n"/>
      <c r="C43" s="39" t="n"/>
      <c r="E43" s="74" t="n"/>
      <c r="F43" s="39" t="n"/>
      <c r="G43" s="39" t="n"/>
      <c r="H43" s="74" t="n"/>
      <c r="I43" s="39" t="n"/>
      <c r="J43" s="39" t="n"/>
    </row>
    <row r="44" ht="15" customHeight="1" s="34">
      <c r="A44" s="73" t="n"/>
      <c r="B44" s="39" t="n"/>
      <c r="C44" s="39" t="n"/>
      <c r="E44" s="74" t="n"/>
      <c r="F44" s="39" t="n"/>
      <c r="G44" s="39" t="n"/>
      <c r="H44" s="74" t="n"/>
      <c r="I44" s="39" t="n"/>
    </row>
    <row r="45" ht="15" customHeight="1" s="34">
      <c r="A45" s="73" t="n"/>
      <c r="B45" s="39" t="n"/>
      <c r="C45" s="39" t="n"/>
      <c r="E45" s="74" t="n"/>
      <c r="F45" s="39" t="n"/>
      <c r="G45" s="39" t="n"/>
      <c r="H45" s="74" t="n"/>
      <c r="I45" s="39" t="n"/>
      <c r="J45" s="39" t="n"/>
    </row>
    <row r="46" ht="15" customHeight="1" s="34">
      <c r="A46" s="73" t="n"/>
      <c r="B46" s="39" t="n"/>
      <c r="C46" s="39" t="n"/>
      <c r="E46" s="74" t="n"/>
      <c r="F46" s="39" t="n"/>
      <c r="G46" s="39" t="n"/>
      <c r="H46" s="74" t="n"/>
      <c r="I46" s="39" t="n"/>
      <c r="J46" s="39" t="n"/>
    </row>
    <row r="47" ht="15" customHeight="1" s="34">
      <c r="A47" s="73" t="n"/>
      <c r="B47" s="39" t="n"/>
      <c r="C47" s="39" t="n"/>
      <c r="E47" s="74" t="n"/>
      <c r="F47" s="39" t="n"/>
      <c r="G47" s="39" t="n"/>
      <c r="H47" s="74" t="n"/>
      <c r="I47" s="39" t="n"/>
      <c r="J47" s="39" t="n"/>
    </row>
    <row r="48" ht="15" customHeight="1" s="34">
      <c r="A48" s="73" t="n"/>
      <c r="B48" s="39" t="n"/>
      <c r="C48" s="39" t="n"/>
      <c r="E48" s="74" t="n"/>
      <c r="F48" s="39" t="n"/>
      <c r="G48" s="39" t="n"/>
      <c r="H48" s="74" t="n"/>
      <c r="I48" s="39" t="n"/>
      <c r="J48" s="39" t="n"/>
    </row>
    <row r="49" ht="15" customHeight="1" s="34">
      <c r="A49" s="73" t="n"/>
      <c r="B49" s="39" t="n"/>
      <c r="C49" s="39" t="n"/>
      <c r="E49" s="74" t="n"/>
      <c r="F49" s="39" t="n"/>
      <c r="G49" s="39" t="n"/>
      <c r="H49" s="74" t="n"/>
      <c r="I49" s="39" t="n"/>
      <c r="J49" s="39" t="n"/>
    </row>
    <row r="50" ht="15" customHeight="1" s="34">
      <c r="A50" s="73" t="n"/>
      <c r="B50" s="39" t="n"/>
      <c r="C50" s="39" t="n"/>
      <c r="E50" s="74" t="n"/>
      <c r="F50" s="39" t="n"/>
      <c r="G50" s="39" t="n"/>
      <c r="H50" s="74" t="n"/>
      <c r="I50" s="39" t="n"/>
    </row>
    <row r="51" ht="15" customHeight="1" s="34">
      <c r="A51" s="73" t="n"/>
      <c r="B51" s="39" t="n"/>
      <c r="C51" s="39" t="n"/>
      <c r="E51" s="74" t="n"/>
      <c r="F51" s="39" t="n"/>
      <c r="G51" s="39" t="n"/>
      <c r="H51" s="74" t="n"/>
      <c r="I51" s="39" t="n"/>
    </row>
    <row r="52" ht="15" customHeight="1" s="34">
      <c r="A52" s="73" t="n"/>
      <c r="B52" s="39" t="n"/>
      <c r="C52" s="39" t="n"/>
      <c r="E52" s="74" t="n"/>
      <c r="F52" s="39" t="n"/>
      <c r="G52" s="39" t="n"/>
      <c r="H52" s="74" t="n"/>
      <c r="I52" s="39" t="n"/>
    </row>
    <row r="53" ht="15" customHeight="1" s="34">
      <c r="A53" s="73" t="n"/>
      <c r="B53" s="39" t="n"/>
      <c r="C53" s="39" t="n"/>
      <c r="E53" s="74" t="n"/>
      <c r="F53" s="39" t="n"/>
      <c r="G53" s="39" t="n"/>
      <c r="H53" s="74" t="n"/>
      <c r="I53" s="39" t="n"/>
      <c r="J53" s="39" t="n"/>
    </row>
    <row r="54" ht="15" customHeight="1" s="34">
      <c r="A54" s="73" t="n"/>
      <c r="B54" s="39" t="n"/>
      <c r="C54" s="39" t="n"/>
      <c r="E54" s="74" t="n"/>
      <c r="F54" s="39" t="n"/>
      <c r="G54" s="39" t="n"/>
      <c r="H54" s="74" t="n"/>
      <c r="I54" s="39" t="n"/>
    </row>
    <row r="55" ht="15" customHeight="1" s="34">
      <c r="A55" s="73" t="n"/>
      <c r="B55" s="39" t="n"/>
      <c r="C55" s="39" t="n"/>
      <c r="E55" s="74" t="n"/>
      <c r="F55" s="39" t="n"/>
      <c r="G55" s="39" t="n"/>
      <c r="H55" s="74" t="n"/>
      <c r="I55" s="39" t="n"/>
      <c r="J55" s="39" t="n"/>
    </row>
    <row r="56" ht="15" customHeight="1" s="34">
      <c r="A56" s="73" t="n"/>
      <c r="B56" s="39" t="n"/>
      <c r="C56" s="39" t="n"/>
      <c r="E56" s="74" t="n"/>
      <c r="F56" s="39" t="n"/>
      <c r="G56" s="39" t="n"/>
      <c r="H56" s="74" t="n"/>
      <c r="I56" s="39" t="n"/>
      <c r="J56" s="39" t="n"/>
    </row>
    <row r="57" ht="15" customHeight="1" s="34">
      <c r="A57" s="73" t="n"/>
      <c r="B57" s="39" t="n"/>
      <c r="C57" s="39" t="n"/>
      <c r="E57" s="74" t="n"/>
      <c r="F57" s="39" t="n"/>
      <c r="G57" s="39" t="n"/>
      <c r="H57" s="74" t="n"/>
      <c r="I57" s="39" t="n"/>
      <c r="J57" s="39" t="n"/>
    </row>
    <row r="58" ht="15" customHeight="1" s="34">
      <c r="A58" s="73" t="n"/>
      <c r="B58" s="39" t="n"/>
      <c r="C58" s="39" t="n"/>
      <c r="E58" s="74" t="n"/>
      <c r="F58" s="39" t="n"/>
      <c r="G58" s="39" t="n"/>
      <c r="H58" s="74" t="n"/>
      <c r="I58" s="39" t="n"/>
      <c r="J58" s="39" t="n"/>
    </row>
    <row r="59" ht="15" customHeight="1" s="34">
      <c r="A59" s="73" t="n"/>
      <c r="B59" s="39" t="n"/>
      <c r="C59" s="39" t="n"/>
      <c r="E59" s="74" t="n"/>
      <c r="F59" s="39" t="n"/>
      <c r="G59" s="39" t="n"/>
      <c r="H59" s="74" t="n"/>
      <c r="I59" s="39" t="n"/>
    </row>
    <row r="60" ht="15" customHeight="1" s="34">
      <c r="A60" s="73" t="n"/>
      <c r="B60" s="39" t="n"/>
      <c r="C60" s="39" t="n"/>
      <c r="E60" s="74" t="n"/>
      <c r="F60" s="39" t="n"/>
      <c r="G60" s="39" t="n"/>
      <c r="H60" s="74" t="n"/>
      <c r="I60" s="39" t="n"/>
      <c r="J60" s="39" t="n"/>
    </row>
    <row r="61" ht="15" customHeight="1" s="34">
      <c r="A61" s="73" t="n"/>
      <c r="B61" s="39" t="n"/>
      <c r="C61" s="39" t="n"/>
      <c r="E61" s="74" t="n"/>
      <c r="F61" s="39" t="n"/>
      <c r="G61" s="39" t="n"/>
      <c r="H61" s="74" t="n"/>
      <c r="I61" s="39" t="n"/>
      <c r="J61" s="39" t="n"/>
    </row>
    <row r="62" ht="15" customHeight="1" s="34">
      <c r="A62" s="73" t="n"/>
      <c r="B62" s="39" t="n"/>
      <c r="C62" s="39" t="n"/>
      <c r="E62" s="74" t="n"/>
      <c r="F62" s="39" t="n"/>
      <c r="G62" s="39" t="n"/>
      <c r="H62" s="74" t="n"/>
      <c r="I62" s="39" t="n"/>
      <c r="J62" s="39" t="n"/>
    </row>
    <row r="63" ht="15" customHeight="1" s="34">
      <c r="A63" s="73" t="n"/>
      <c r="B63" s="39" t="n"/>
      <c r="C63" s="39" t="n"/>
      <c r="E63" s="74" t="n"/>
      <c r="F63" s="39" t="n"/>
      <c r="G63" s="39" t="n"/>
      <c r="H63" s="74" t="n"/>
      <c r="I63" s="39" t="n"/>
      <c r="J63" s="39" t="n"/>
    </row>
    <row r="64" ht="15" customHeight="1" s="34">
      <c r="A64" s="73" t="n"/>
      <c r="B64" s="39" t="n"/>
      <c r="C64" s="39" t="n"/>
      <c r="E64" s="74" t="n"/>
      <c r="F64" s="39" t="n"/>
      <c r="G64" s="39" t="n"/>
      <c r="H64" s="74" t="n"/>
      <c r="I64" s="39" t="n"/>
      <c r="J64" s="39" t="n"/>
    </row>
    <row r="65" ht="15" customHeight="1" s="34">
      <c r="A65" s="73" t="n"/>
      <c r="B65" s="39" t="n"/>
      <c r="C65" s="39" t="n"/>
      <c r="E65" s="74" t="n"/>
      <c r="F65" s="39" t="n"/>
      <c r="G65" s="39" t="n"/>
      <c r="H65" s="74" t="n"/>
      <c r="I65" s="39" t="n"/>
      <c r="J65" s="39" t="n"/>
    </row>
    <row r="66" ht="15" customHeight="1" s="34">
      <c r="A66" s="73" t="n"/>
      <c r="B66" s="39" t="n"/>
      <c r="C66" s="39" t="n"/>
      <c r="E66" s="74" t="n"/>
      <c r="F66" s="39" t="n"/>
      <c r="G66" s="39" t="n"/>
      <c r="H66" s="74" t="n"/>
      <c r="I66" s="39" t="n"/>
    </row>
    <row r="67" ht="15" customHeight="1" s="34">
      <c r="A67" s="73" t="n"/>
      <c r="B67" s="39" t="n"/>
      <c r="C67" s="39" t="n"/>
      <c r="E67" s="74" t="n"/>
      <c r="F67" s="39" t="n"/>
      <c r="G67" s="39" t="n"/>
      <c r="H67" s="74" t="n"/>
      <c r="I67" s="39" t="n"/>
      <c r="J67" s="39" t="n"/>
    </row>
    <row r="68" ht="15" customHeight="1" s="34">
      <c r="A68" s="73" t="n"/>
      <c r="B68" s="39" t="n"/>
      <c r="C68" s="39" t="n"/>
      <c r="E68" s="74" t="n"/>
      <c r="F68" s="39" t="n"/>
      <c r="G68" s="39" t="n"/>
      <c r="H68" s="74" t="n"/>
      <c r="I68" s="39" t="n"/>
    </row>
    <row r="69" ht="15" customHeight="1" s="34">
      <c r="A69" s="73" t="n"/>
      <c r="B69" s="39" t="n"/>
      <c r="C69" s="39" t="n"/>
      <c r="E69" s="74" t="n"/>
      <c r="F69" s="39" t="n"/>
      <c r="G69" s="39" t="n"/>
      <c r="H69" s="74" t="n"/>
      <c r="I69" s="39" t="n"/>
    </row>
    <row r="70" ht="15" customHeight="1" s="34">
      <c r="A70" s="73" t="n"/>
      <c r="B70" s="39" t="n"/>
      <c r="C70" s="39" t="n"/>
      <c r="E70" s="74" t="n"/>
      <c r="F70" s="39" t="n"/>
      <c r="G70" s="39" t="n"/>
      <c r="H70" s="74" t="n"/>
      <c r="I70" s="39" t="n"/>
      <c r="J70" s="39" t="n"/>
    </row>
    <row r="71" ht="15" customHeight="1" s="34">
      <c r="A71" s="73" t="n"/>
      <c r="B71" s="39" t="n"/>
      <c r="C71" s="39" t="n"/>
      <c r="E71" s="74" t="n"/>
      <c r="F71" s="39" t="n"/>
      <c r="G71" s="39" t="n"/>
      <c r="H71" s="74" t="n"/>
      <c r="I71" s="39" t="n"/>
      <c r="J71" s="39" t="n"/>
    </row>
    <row r="72" ht="15" customHeight="1" s="34">
      <c r="A72" s="73" t="n"/>
      <c r="B72" s="39" t="n"/>
      <c r="C72" s="39" t="n"/>
      <c r="E72" s="74" t="n"/>
      <c r="F72" s="39" t="n"/>
      <c r="G72" s="39" t="n"/>
      <c r="H72" s="74" t="n"/>
      <c r="I72" s="39" t="n"/>
      <c r="J72" s="39" t="n"/>
    </row>
    <row r="73" ht="15" customHeight="1" s="34">
      <c r="A73" s="73" t="n"/>
      <c r="B73" s="39" t="n"/>
      <c r="C73" s="39" t="n"/>
      <c r="E73" s="74" t="n"/>
      <c r="F73" s="39" t="n"/>
      <c r="G73" s="39" t="n"/>
      <c r="H73" s="74" t="n"/>
      <c r="I73" s="39" t="n"/>
    </row>
    <row r="74" ht="15" customHeight="1" s="34">
      <c r="A74" s="73" t="n"/>
      <c r="B74" s="39" t="n"/>
      <c r="C74" s="39" t="n"/>
      <c r="E74" s="74" t="n"/>
      <c r="F74" s="39" t="n"/>
      <c r="G74" s="39" t="n"/>
      <c r="H74" s="74" t="n"/>
      <c r="I74" s="39" t="n"/>
    </row>
    <row r="75" ht="15" customHeight="1" s="34">
      <c r="A75" s="73" t="n"/>
      <c r="B75" s="39" t="n"/>
      <c r="C75" s="39" t="n"/>
      <c r="E75" s="74" t="n"/>
      <c r="F75" s="39" t="n"/>
      <c r="G75" s="39" t="n"/>
      <c r="H75" s="74" t="n"/>
      <c r="I75" s="39" t="n"/>
    </row>
    <row r="76" ht="15" customHeight="1" s="34">
      <c r="A76" s="73" t="n"/>
      <c r="B76" s="39" t="n"/>
      <c r="C76" s="39" t="n"/>
      <c r="E76" s="74" t="n"/>
      <c r="F76" s="39" t="n"/>
      <c r="G76" s="39" t="n"/>
      <c r="H76" s="74" t="n"/>
      <c r="I76" s="39" t="n"/>
    </row>
    <row r="77" ht="15" customHeight="1" s="34">
      <c r="A77" s="73" t="n"/>
      <c r="B77" s="39" t="n"/>
      <c r="C77" s="39" t="n"/>
      <c r="E77" s="74" t="n"/>
      <c r="F77" s="39" t="n"/>
      <c r="G77" s="39" t="n"/>
      <c r="H77" s="74" t="n"/>
      <c r="I77" s="39" t="n"/>
    </row>
    <row r="78" ht="15" customHeight="1" s="34">
      <c r="A78" s="73" t="n"/>
      <c r="B78" s="39" t="n"/>
      <c r="C78" s="39" t="n"/>
      <c r="E78" s="74" t="n"/>
      <c r="F78" s="39" t="n"/>
      <c r="G78" s="39" t="n"/>
      <c r="H78" s="74" t="n"/>
      <c r="I78" s="39" t="n"/>
      <c r="J78" s="39" t="n"/>
    </row>
    <row r="79" ht="15" customHeight="1" s="34">
      <c r="A79" s="73" t="n"/>
      <c r="B79" s="39" t="n"/>
      <c r="C79" s="39" t="n"/>
      <c r="E79" s="74" t="n"/>
      <c r="F79" s="39" t="n"/>
      <c r="G79" s="39" t="n"/>
      <c r="H79" s="74" t="n"/>
      <c r="I79" s="39" t="n"/>
    </row>
    <row r="80" ht="15" customHeight="1" s="34">
      <c r="A80" s="73" t="n"/>
      <c r="B80" s="39" t="n"/>
      <c r="C80" s="39" t="n"/>
      <c r="E80" s="74" t="n"/>
      <c r="F80" s="39" t="n"/>
      <c r="G80" s="39" t="n"/>
      <c r="H80" s="74" t="n"/>
      <c r="I80" s="39" t="n"/>
      <c r="J80" s="39" t="n"/>
    </row>
    <row r="81" ht="15" customHeight="1" s="34">
      <c r="A81" s="73" t="n"/>
      <c r="B81" s="39" t="n"/>
      <c r="C81" s="39" t="n"/>
      <c r="E81" s="74" t="n"/>
      <c r="F81" s="39" t="n"/>
      <c r="G81" s="39" t="n"/>
      <c r="H81" s="74" t="n"/>
      <c r="I81" s="39" t="n"/>
      <c r="J81" s="39" t="n"/>
    </row>
    <row r="82" ht="15" customHeight="1" s="34">
      <c r="A82" s="73" t="n"/>
      <c r="B82" s="39" t="n"/>
      <c r="C82" s="39" t="n"/>
      <c r="E82" s="74" t="n"/>
      <c r="F82" s="39" t="n"/>
      <c r="G82" s="39" t="n"/>
      <c r="H82" s="74" t="n"/>
      <c r="I82" s="39" t="n"/>
      <c r="J82" s="39" t="n"/>
    </row>
    <row r="83" ht="15" customHeight="1" s="34">
      <c r="A83" s="73" t="n"/>
      <c r="B83" s="39" t="n"/>
      <c r="C83" s="39" t="n"/>
      <c r="E83" s="74" t="n"/>
      <c r="F83" s="39" t="n"/>
      <c r="G83" s="39" t="n"/>
      <c r="H83" s="74" t="n"/>
      <c r="I83" s="39" t="n"/>
      <c r="J83" s="39" t="n"/>
    </row>
    <row r="84" ht="15" customHeight="1" s="34">
      <c r="A84" s="73" t="n"/>
      <c r="B84" s="39" t="n"/>
      <c r="C84" s="39" t="n"/>
      <c r="E84" s="74" t="n"/>
      <c r="F84" s="39" t="n"/>
      <c r="G84" s="39" t="n"/>
      <c r="H84" s="74" t="n"/>
      <c r="I84" s="39" t="n"/>
      <c r="J84" s="39" t="n"/>
    </row>
    <row r="85" ht="15" customHeight="1" s="34">
      <c r="A85" s="73" t="n"/>
      <c r="B85" s="39" t="n"/>
      <c r="C85" s="39" t="n"/>
      <c r="E85" s="74" t="n"/>
      <c r="F85" s="39" t="n"/>
      <c r="G85" s="39" t="n"/>
      <c r="H85" s="74" t="n"/>
      <c r="I85" s="39" t="n"/>
      <c r="J85" s="39" t="n"/>
    </row>
    <row r="86" ht="15" customHeight="1" s="34">
      <c r="A86" s="73" t="n"/>
      <c r="B86" s="39" t="n"/>
      <c r="C86" s="39" t="n"/>
      <c r="E86" s="74" t="n"/>
      <c r="F86" s="39" t="n"/>
      <c r="G86" s="39" t="n"/>
      <c r="H86" s="74" t="n"/>
      <c r="I86" s="39" t="n"/>
      <c r="J86" s="39" t="n"/>
    </row>
    <row r="87" ht="15" customHeight="1" s="34">
      <c r="A87" s="73" t="n"/>
      <c r="B87" s="39" t="n"/>
      <c r="C87" s="39" t="n"/>
      <c r="E87" s="74" t="n"/>
      <c r="F87" s="39" t="n"/>
      <c r="G87" s="39" t="n"/>
      <c r="H87" s="74" t="n"/>
      <c r="I87" s="39" t="n"/>
      <c r="J87" s="39" t="n"/>
    </row>
    <row r="88" ht="15" customHeight="1" s="34">
      <c r="A88" s="73" t="n"/>
      <c r="B88" s="39" t="n"/>
      <c r="C88" s="39" t="n"/>
      <c r="E88" s="74" t="n"/>
      <c r="F88" s="39" t="n"/>
      <c r="G88" s="39" t="n"/>
      <c r="H88" s="74" t="n"/>
      <c r="I88" s="39" t="n"/>
    </row>
    <row r="89" ht="15" customHeight="1" s="34">
      <c r="A89" s="73" t="n"/>
      <c r="B89" s="39" t="n"/>
      <c r="C89" s="39" t="n"/>
      <c r="E89" s="74" t="n"/>
      <c r="F89" s="39" t="n"/>
      <c r="G89" s="39" t="n"/>
      <c r="H89" s="74" t="n"/>
      <c r="I89" s="39" t="n"/>
    </row>
    <row r="90" ht="15" customHeight="1" s="34">
      <c r="A90" s="72" t="n">
        <v>46082</v>
      </c>
      <c r="B90" s="39" t="inlineStr">
        <is>
          <t>Coromandel Mountains Company Limited</t>
        </is>
      </c>
      <c r="C90" s="39" t="inlineStr">
        <is>
          <t>Freight DIFOT</t>
        </is>
      </c>
      <c r="E90" s="39" t="n">
        <v>0.95</v>
      </c>
      <c r="F90" s="39" t="n">
        <v>0</v>
      </c>
      <c r="G90" s="39" t="n">
        <v>1</v>
      </c>
      <c r="H90" s="39">
        <f>F150/G150</f>
        <v/>
      </c>
      <c r="I90" s="39">
        <f>IF(H150&gt;=E150,"Yes","No")</f>
        <v/>
      </c>
      <c r="J90" s="39" t="inlineStr">
        <is>
          <t>Below target - investigate root cause and add to next month's action plan</t>
        </is>
      </c>
    </row>
    <row r="91" ht="15" customHeight="1" s="34">
      <c r="A91" s="72" t="n">
        <v>46082</v>
      </c>
      <c r="B91" s="39" t="inlineStr">
        <is>
          <t>Jock Freight - SECA</t>
        </is>
      </c>
      <c r="C91" s="39" t="inlineStr">
        <is>
          <t>Freight DIFOT</t>
        </is>
      </c>
      <c r="E91" s="39" t="n">
        <v>0.95</v>
      </c>
      <c r="F91" s="39" t="n">
        <v>9</v>
      </c>
      <c r="G91" s="39" t="n">
        <v>10</v>
      </c>
      <c r="H91" s="39">
        <f>F151/G151</f>
        <v/>
      </c>
      <c r="I91" s="39">
        <f>IF(H151&gt;=E151,"Yes","No")</f>
        <v/>
      </c>
      <c r="J91" s="39" t="inlineStr">
        <is>
          <t>Below target - investigate root cause and add to next month's action plan</t>
        </is>
      </c>
    </row>
    <row r="92" ht="15" customHeight="1" s="34">
      <c r="A92" s="72" t="n">
        <v>46082</v>
      </c>
      <c r="B92" s="39" t="inlineStr">
        <is>
          <t>May Eleven NZ</t>
        </is>
      </c>
      <c r="C92" s="39" t="inlineStr">
        <is>
          <t>Freight DIFOT</t>
        </is>
      </c>
      <c r="E92" s="39" t="n">
        <v>0.95</v>
      </c>
      <c r="F92" s="39" t="n">
        <v>1</v>
      </c>
      <c r="G92" s="39" t="n">
        <v>1</v>
      </c>
      <c r="H92" s="39">
        <f>F152/G152</f>
        <v/>
      </c>
      <c r="I92" s="39">
        <f>IF(H152&gt;=E152,"Yes","No")</f>
        <v/>
      </c>
    </row>
    <row r="93" ht="15" customHeight="1" s="34">
      <c r="A93" s="72" t="n">
        <v>46082</v>
      </c>
      <c r="B93" s="39" t="inlineStr">
        <is>
          <t>Oricom</t>
        </is>
      </c>
      <c r="C93" s="39" t="inlineStr">
        <is>
          <t>Freight DIFOT</t>
        </is>
      </c>
      <c r="E93" s="39" t="n">
        <v>0.95</v>
      </c>
      <c r="F93" s="39" t="n">
        <v>3</v>
      </c>
      <c r="G93" s="39" t="n">
        <v>3</v>
      </c>
      <c r="H93" s="39">
        <f>F153/G153</f>
        <v/>
      </c>
      <c r="I93" s="39">
        <f>IF(H153&gt;=E153,"Yes","No")</f>
        <v/>
      </c>
    </row>
    <row r="94" ht="15" customHeight="1" s="34">
      <c r="A94" s="72" t="n">
        <v>46082</v>
      </c>
      <c r="B94" s="39" t="inlineStr">
        <is>
          <t>Salt Shark</t>
        </is>
      </c>
      <c r="C94" s="39" t="inlineStr">
        <is>
          <t>Freight DIFOT</t>
        </is>
      </c>
      <c r="E94" s="39" t="n">
        <v>0.95</v>
      </c>
      <c r="F94" s="39" t="n">
        <v>13</v>
      </c>
      <c r="G94" s="39" t="n">
        <v>18</v>
      </c>
      <c r="H94" s="39">
        <f>F154/G154</f>
        <v/>
      </c>
      <c r="I94" s="39">
        <f>IF(H154&gt;=E154,"Yes","No")</f>
        <v/>
      </c>
      <c r="J94" s="39" t="inlineStr">
        <is>
          <t>Below target - investigate root cause and add to next month's action plan</t>
        </is>
      </c>
    </row>
    <row r="95" ht="15" customHeight="1" s="34">
      <c r="A95" s="72" t="n">
        <v>46113</v>
      </c>
      <c r="B95" s="39" t="inlineStr">
        <is>
          <t>Aleger Studio</t>
        </is>
      </c>
      <c r="C95" s="39" t="inlineStr">
        <is>
          <t>Freight DIFOT</t>
        </is>
      </c>
      <c r="E95" s="39" t="n">
        <v>0.95</v>
      </c>
      <c r="F95" s="39" t="n">
        <v>6</v>
      </c>
      <c r="G95" s="39" t="n">
        <v>16</v>
      </c>
      <c r="H95" s="39">
        <f>F155/G155</f>
        <v/>
      </c>
      <c r="I95" s="39">
        <f>IF(H155&gt;=E155,"Yes","No")</f>
        <v/>
      </c>
      <c r="J95" s="39" t="inlineStr">
        <is>
          <t>Below target - investigate root cause and add to next month's action plan</t>
        </is>
      </c>
    </row>
    <row r="96" ht="15" customHeight="1" s="34">
      <c r="A96" s="72" t="n">
        <v>46113</v>
      </c>
      <c r="B96" s="39" t="inlineStr">
        <is>
          <t>Coromandel Mountains Company Limited</t>
        </is>
      </c>
      <c r="C96" s="39" t="inlineStr">
        <is>
          <t>Freight DIFOT</t>
        </is>
      </c>
      <c r="E96" s="39" t="n">
        <v>0.95</v>
      </c>
      <c r="F96" s="39" t="n">
        <v>4</v>
      </c>
      <c r="G96" s="39" t="n">
        <v>5</v>
      </c>
      <c r="H96" s="39">
        <f>F156/G156</f>
        <v/>
      </c>
      <c r="I96" s="39">
        <f>IF(H156&gt;=E156,"Yes","No")</f>
        <v/>
      </c>
      <c r="J96" s="39" t="inlineStr">
        <is>
          <t>Below target - investigate root cause and add to next month's action plan</t>
        </is>
      </c>
    </row>
    <row r="97" ht="15" customHeight="1" s="34">
      <c r="A97" s="72" t="n">
        <v>46113</v>
      </c>
      <c r="B97" s="39" t="inlineStr">
        <is>
          <t>Jock Freight - SECA</t>
        </is>
      </c>
      <c r="C97" s="39" t="inlineStr">
        <is>
          <t>Freight DIFOT</t>
        </is>
      </c>
      <c r="E97" s="39" t="n">
        <v>0.95</v>
      </c>
      <c r="F97" s="39" t="n">
        <v>9</v>
      </c>
      <c r="G97" s="39" t="n">
        <v>10</v>
      </c>
      <c r="H97" s="39">
        <f>F157/G157</f>
        <v/>
      </c>
      <c r="I97" s="39">
        <f>IF(H157&gt;=E157,"Yes","No")</f>
        <v/>
      </c>
      <c r="J97" s="39" t="inlineStr">
        <is>
          <t>Below target - investigate root cause and add to next month's action plan</t>
        </is>
      </c>
    </row>
    <row r="98" ht="15" customHeight="1" s="34">
      <c r="A98" s="72" t="n">
        <v>46113</v>
      </c>
      <c r="B98" s="39" t="inlineStr">
        <is>
          <t>Oricom</t>
        </is>
      </c>
      <c r="C98" s="39" t="inlineStr">
        <is>
          <t>Freight DIFOT</t>
        </is>
      </c>
      <c r="E98" s="39" t="n">
        <v>0.95</v>
      </c>
      <c r="F98" s="39" t="n">
        <v>22</v>
      </c>
      <c r="G98" s="39" t="n">
        <v>28</v>
      </c>
      <c r="H98" s="39">
        <f>F158/G158</f>
        <v/>
      </c>
      <c r="I98" s="39">
        <f>IF(H158&gt;=E158,"Yes","No")</f>
        <v/>
      </c>
      <c r="J98" s="39" t="inlineStr">
        <is>
          <t>Below target - investigate root cause and add to next month's action plan</t>
        </is>
      </c>
    </row>
    <row r="99" ht="15" customHeight="1" s="34">
      <c r="A99" s="72" t="n">
        <v>46113</v>
      </c>
      <c r="B99" s="39" t="inlineStr">
        <is>
          <t>Salt Shark</t>
        </is>
      </c>
      <c r="C99" s="39" t="inlineStr">
        <is>
          <t>Freight DIFOT</t>
        </is>
      </c>
      <c r="E99" s="39" t="n">
        <v>0.95</v>
      </c>
      <c r="F99" s="39" t="n">
        <v>37</v>
      </c>
      <c r="G99" s="39" t="n">
        <v>45</v>
      </c>
      <c r="H99" s="39">
        <f>F159/G159</f>
        <v/>
      </c>
      <c r="I99" s="39">
        <f>IF(H159&gt;=E159,"Yes","No")</f>
        <v/>
      </c>
      <c r="J99" s="39" t="inlineStr">
        <is>
          <t>Below target - investigate root cause and add to next month's action plan</t>
        </is>
      </c>
    </row>
    <row r="100" ht="15" customHeight="1" s="34">
      <c r="A100" s="72" t="n">
        <v>46143</v>
      </c>
      <c r="B100" s="39" t="inlineStr">
        <is>
          <t>Coromandel Mountains Company Limited</t>
        </is>
      </c>
      <c r="C100" s="39" t="inlineStr">
        <is>
          <t>Freight DIFOT</t>
        </is>
      </c>
      <c r="E100" s="39" t="n">
        <v>0.95</v>
      </c>
      <c r="F100" s="39" t="n">
        <v>6</v>
      </c>
      <c r="G100" s="39" t="n">
        <v>7</v>
      </c>
      <c r="H100" s="39">
        <f>F153/G153</f>
        <v/>
      </c>
      <c r="I100" s="39">
        <f>IF(H153&gt;=E153,"Yes","No")</f>
        <v/>
      </c>
      <c r="J100" s="39" t="inlineStr">
        <is>
          <t>Below target - investigate root cause and add to next month's action plan</t>
        </is>
      </c>
    </row>
    <row r="101" ht="15" customHeight="1" s="34">
      <c r="A101" s="72" t="n">
        <v>46143</v>
      </c>
      <c r="B101" s="39" t="inlineStr">
        <is>
          <t>Interior Images</t>
        </is>
      </c>
      <c r="C101" s="39" t="inlineStr">
        <is>
          <t>Freight DIFOT</t>
        </is>
      </c>
      <c r="E101" s="39" t="n">
        <v>0.95</v>
      </c>
      <c r="F101" s="39" t="n">
        <v>1</v>
      </c>
      <c r="G101" s="39" t="n">
        <v>1</v>
      </c>
      <c r="H101" s="39">
        <f>F154/G154</f>
        <v/>
      </c>
      <c r="I101" s="39">
        <f>IF(H154&gt;=E154,"Yes","No")</f>
        <v/>
      </c>
    </row>
    <row r="102" ht="15" customHeight="1" s="34">
      <c r="A102" s="72" t="n">
        <v>46143</v>
      </c>
      <c r="B102" s="39" t="inlineStr">
        <is>
          <t>Jock Freight - SECA</t>
        </is>
      </c>
      <c r="C102" s="39" t="inlineStr">
        <is>
          <t>Freight DIFOT</t>
        </is>
      </c>
      <c r="E102" s="39" t="n">
        <v>0.95</v>
      </c>
      <c r="F102" s="39" t="n">
        <v>5</v>
      </c>
      <c r="G102" s="39" t="n">
        <v>6</v>
      </c>
      <c r="H102" s="39">
        <f>F155/G155</f>
        <v/>
      </c>
      <c r="I102" s="39">
        <f>IF(H155&gt;=E155,"Yes","No")</f>
        <v/>
      </c>
      <c r="J102" s="39" t="inlineStr">
        <is>
          <t>Below target - investigate root cause and add to next month's action plan</t>
        </is>
      </c>
    </row>
    <row r="103" ht="15" customHeight="1" s="34">
      <c r="A103" s="72" t="n">
        <v>46143</v>
      </c>
      <c r="B103" s="39" t="inlineStr">
        <is>
          <t>May Eleven NZ</t>
        </is>
      </c>
      <c r="C103" s="39" t="inlineStr">
        <is>
          <t>Freight DIFOT</t>
        </is>
      </c>
      <c r="E103" s="39" t="n">
        <v>0.95</v>
      </c>
      <c r="F103" s="39" t="n">
        <v>1</v>
      </c>
      <c r="G103" s="39" t="n">
        <v>1</v>
      </c>
      <c r="H103" s="39">
        <f>F156/G156</f>
        <v/>
      </c>
      <c r="I103" s="39">
        <f>IF(H156&gt;=E156,"Yes","No")</f>
        <v/>
      </c>
    </row>
    <row r="104" ht="15" customHeight="1" s="34">
      <c r="A104" s="72" t="n">
        <v>46143</v>
      </c>
      <c r="B104" s="39" t="inlineStr">
        <is>
          <t>Oricom</t>
        </is>
      </c>
      <c r="C104" s="39" t="inlineStr">
        <is>
          <t>Freight DIFOT</t>
        </is>
      </c>
      <c r="E104" s="39" t="n">
        <v>0.95</v>
      </c>
      <c r="F104" s="39" t="n">
        <v>21</v>
      </c>
      <c r="G104" s="39" t="n">
        <v>22</v>
      </c>
      <c r="H104" s="39">
        <f>F157/G157</f>
        <v/>
      </c>
      <c r="I104" s="39">
        <f>IF(H157&gt;=E157,"Yes","No")</f>
        <v/>
      </c>
    </row>
    <row r="105" ht="15" customHeight="1" s="34">
      <c r="A105" s="72" t="n">
        <v>46143</v>
      </c>
      <c r="B105" s="39" t="inlineStr">
        <is>
          <t>Salt Shark</t>
        </is>
      </c>
      <c r="C105" s="39" t="inlineStr">
        <is>
          <t>Freight DIFOT</t>
        </is>
      </c>
      <c r="E105" s="39" t="n">
        <v>0.95</v>
      </c>
      <c r="F105" s="39" t="n">
        <v>45</v>
      </c>
      <c r="G105" s="39" t="n">
        <v>49</v>
      </c>
      <c r="H105" s="39">
        <f>F158/G158</f>
        <v/>
      </c>
      <c r="I105" s="39">
        <f>IF(H158&gt;=E158,"Yes","No")</f>
        <v/>
      </c>
      <c r="J105" s="39" t="inlineStr">
        <is>
          <t>Below target - investigate root cause and add to next month's action plan</t>
        </is>
      </c>
    </row>
    <row r="106" ht="15" customHeight="1" s="34">
      <c r="A106" s="72" t="n">
        <v>46143</v>
      </c>
      <c r="B106" s="39" t="inlineStr">
        <is>
          <t>Vixxen</t>
        </is>
      </c>
      <c r="C106" s="39" t="inlineStr">
        <is>
          <t>Freight DIFOT</t>
        </is>
      </c>
      <c r="E106" s="39" t="n">
        <v>0.95</v>
      </c>
      <c r="F106" s="39" t="n">
        <v>78</v>
      </c>
      <c r="G106" s="39" t="n">
        <v>82</v>
      </c>
      <c r="H106" s="39">
        <f>F159/G159</f>
        <v/>
      </c>
      <c r="I106" s="39">
        <f>IF(H159&gt;=E159,"Yes","No")</f>
        <v/>
      </c>
    </row>
    <row r="107" ht="15" customHeight="1" s="34">
      <c r="A107" s="73" t="n">
        <v>46082</v>
      </c>
      <c r="B107" s="39" t="inlineStr">
        <is>
          <t>Coromandel Mountains Company Limited</t>
        </is>
      </c>
      <c r="C107" s="39" t="inlineStr">
        <is>
          <t>Dock to Stock</t>
        </is>
      </c>
      <c r="E107" s="74" t="n">
        <v>0.95</v>
      </c>
      <c r="F107" s="39" t="n">
        <v>3</v>
      </c>
      <c r="G107" s="39" t="n">
        <v>3</v>
      </c>
      <c r="H107" s="74">
        <f>F149/G149</f>
        <v/>
      </c>
      <c r="I107" s="39">
        <f>IF(H149&gt;=E149,"Yes","No")</f>
        <v/>
      </c>
    </row>
    <row r="108" ht="15" customHeight="1" s="34">
      <c r="A108" s="73" t="n">
        <v>46082</v>
      </c>
      <c r="B108" s="39" t="inlineStr">
        <is>
          <t>Jock Freight - SECA</t>
        </is>
      </c>
      <c r="C108" s="39" t="inlineStr">
        <is>
          <t>Dock to Stock</t>
        </is>
      </c>
      <c r="E108" s="74" t="n">
        <v>0.95</v>
      </c>
      <c r="F108" s="39" t="n">
        <v>2</v>
      </c>
      <c r="G108" s="39" t="n">
        <v>6</v>
      </c>
      <c r="H108" s="74">
        <f>F150/G150</f>
        <v/>
      </c>
      <c r="I108" s="39">
        <f>IF(H150&gt;=E150,"Yes","No")</f>
        <v/>
      </c>
      <c r="J108" s="39" t="inlineStr">
        <is>
          <t>Below target - investigate root cause and add to next month's action plan</t>
        </is>
      </c>
    </row>
    <row r="109" ht="15" customHeight="1" s="34">
      <c r="A109" s="73" t="n">
        <v>46082</v>
      </c>
      <c r="B109" s="39" t="inlineStr">
        <is>
          <t>May Eleven NZ</t>
        </is>
      </c>
      <c r="C109" s="39" t="inlineStr">
        <is>
          <t>Dock to Stock</t>
        </is>
      </c>
      <c r="E109" s="74" t="n">
        <v>0.95</v>
      </c>
      <c r="F109" s="39" t="n">
        <v>1</v>
      </c>
      <c r="G109" s="39" t="n">
        <v>1</v>
      </c>
      <c r="H109" s="74">
        <f>F151/G151</f>
        <v/>
      </c>
      <c r="I109" s="39">
        <f>IF(H151&gt;=E151,"Yes","No")</f>
        <v/>
      </c>
    </row>
    <row r="110" ht="15" customHeight="1" s="34">
      <c r="A110" s="73" t="n">
        <v>46082</v>
      </c>
      <c r="B110" s="39" t="inlineStr">
        <is>
          <t>Oricom</t>
        </is>
      </c>
      <c r="C110" s="39" t="inlineStr">
        <is>
          <t>Dock to Stock</t>
        </is>
      </c>
      <c r="E110" s="74" t="n">
        <v>0.95</v>
      </c>
      <c r="F110" s="39" t="n">
        <v>4</v>
      </c>
      <c r="G110" s="39" t="n">
        <v>5</v>
      </c>
      <c r="H110" s="74">
        <f>F152/G152</f>
        <v/>
      </c>
      <c r="I110" s="39">
        <f>IF(H152&gt;=E152,"Yes","No")</f>
        <v/>
      </c>
      <c r="J110" s="39" t="inlineStr">
        <is>
          <t>Below target - investigate root cause and add to next month's action plan</t>
        </is>
      </c>
    </row>
    <row r="111" ht="15" customHeight="1" s="34">
      <c r="A111" s="73" t="n">
        <v>46082</v>
      </c>
      <c r="B111" s="39" t="inlineStr">
        <is>
          <t>Salt Shark</t>
        </is>
      </c>
      <c r="C111" s="39" t="inlineStr">
        <is>
          <t>Dock to Stock</t>
        </is>
      </c>
      <c r="E111" s="74" t="n">
        <v>0.95</v>
      </c>
      <c r="F111" s="39" t="n">
        <v>1</v>
      </c>
      <c r="G111" s="39" t="n">
        <v>1</v>
      </c>
      <c r="H111" s="74">
        <f>F153/G153</f>
        <v/>
      </c>
      <c r="I111" s="39">
        <f>IF(H153&gt;=E153,"Yes","No")</f>
        <v/>
      </c>
    </row>
    <row r="112" ht="15" customHeight="1" s="34">
      <c r="A112" s="73" t="n">
        <v>46082</v>
      </c>
      <c r="B112" s="39" t="inlineStr">
        <is>
          <t>Aleger Studio</t>
        </is>
      </c>
      <c r="C112" s="39" t="inlineStr">
        <is>
          <t>Order Cut Off</t>
        </is>
      </c>
      <c r="E112" s="74" t="n">
        <v>0.95</v>
      </c>
      <c r="F112" s="39" t="n">
        <v>0</v>
      </c>
      <c r="G112" s="39" t="n">
        <v>11</v>
      </c>
      <c r="H112" s="74">
        <f>F154/G154</f>
        <v/>
      </c>
      <c r="I112" s="39">
        <f>IF(H154&gt;=E154,"Yes","No")</f>
        <v/>
      </c>
      <c r="J112" s="39" t="inlineStr">
        <is>
          <t>Below target - investigate root cause and add to next month's action plan</t>
        </is>
      </c>
    </row>
    <row r="113" ht="15" customHeight="1" s="34">
      <c r="A113" s="73" t="n">
        <v>46082</v>
      </c>
      <c r="B113" s="39" t="inlineStr">
        <is>
          <t>Coromandel Mountains Company Limited</t>
        </is>
      </c>
      <c r="C113" s="39" t="inlineStr">
        <is>
          <t>Order Cut Off</t>
        </is>
      </c>
      <c r="E113" s="74" t="n">
        <v>0.95</v>
      </c>
      <c r="F113" s="39" t="n">
        <v>1</v>
      </c>
      <c r="G113" s="39" t="n">
        <v>2</v>
      </c>
      <c r="H113" s="74">
        <f>F155/G155</f>
        <v/>
      </c>
      <c r="I113" s="39">
        <f>IF(H155&gt;=E155,"Yes","No")</f>
        <v/>
      </c>
      <c r="J113" s="39" t="inlineStr">
        <is>
          <t>Below target - investigate root cause and add to next month's action plan</t>
        </is>
      </c>
    </row>
    <row r="114" ht="15" customHeight="1" s="34">
      <c r="A114" s="73" t="n">
        <v>46082</v>
      </c>
      <c r="B114" s="39" t="inlineStr">
        <is>
          <t>Jock Freight - SECA</t>
        </is>
      </c>
      <c r="C114" s="39" t="inlineStr">
        <is>
          <t>Order Cut Off</t>
        </is>
      </c>
      <c r="E114" s="74" t="n">
        <v>0.95</v>
      </c>
      <c r="F114" s="39" t="n">
        <v>11</v>
      </c>
      <c r="G114" s="39" t="n">
        <v>25</v>
      </c>
      <c r="H114" s="74">
        <f>F156/G156</f>
        <v/>
      </c>
      <c r="I114" s="39">
        <f>IF(H156&gt;=E156,"Yes","No")</f>
        <v/>
      </c>
      <c r="J114" s="39" t="inlineStr">
        <is>
          <t>Below target - investigate root cause and add to next month's action plan</t>
        </is>
      </c>
    </row>
    <row r="115" ht="15" customHeight="1" s="34">
      <c r="A115" s="73" t="n">
        <v>46082</v>
      </c>
      <c r="B115" s="39" t="inlineStr">
        <is>
          <t>May Eleven NZ</t>
        </is>
      </c>
      <c r="C115" s="39" t="inlineStr">
        <is>
          <t>Order Cut Off</t>
        </is>
      </c>
      <c r="E115" s="74" t="n">
        <v>0.95</v>
      </c>
      <c r="F115" s="39" t="n">
        <v>0</v>
      </c>
      <c r="G115" s="39" t="n">
        <v>1</v>
      </c>
      <c r="H115" s="74">
        <f>F157/G157</f>
        <v/>
      </c>
      <c r="I115" s="39">
        <f>IF(H157&gt;=E157,"Yes","No")</f>
        <v/>
      </c>
      <c r="J115" s="39" t="inlineStr">
        <is>
          <t>Below target - investigate root cause and add to next month's action plan</t>
        </is>
      </c>
    </row>
    <row r="116" ht="15" customHeight="1" s="34">
      <c r="A116" s="73" t="n">
        <v>46082</v>
      </c>
      <c r="B116" s="39" t="inlineStr">
        <is>
          <t>Oricom</t>
        </is>
      </c>
      <c r="C116" s="39" t="inlineStr">
        <is>
          <t>Order Cut Off</t>
        </is>
      </c>
      <c r="E116" s="74" t="n">
        <v>0.95</v>
      </c>
      <c r="F116" s="39" t="n">
        <v>9</v>
      </c>
      <c r="G116" s="39" t="n">
        <v>10</v>
      </c>
      <c r="H116" s="74">
        <f>F158/G158</f>
        <v/>
      </c>
      <c r="I116" s="39">
        <f>IF(H158&gt;=E158,"Yes","No")</f>
        <v/>
      </c>
      <c r="J116" s="39" t="inlineStr">
        <is>
          <t>Below target - investigate root cause and add to next month's action plan</t>
        </is>
      </c>
    </row>
    <row r="117" ht="15" customHeight="1" s="34">
      <c r="A117" s="73" t="n">
        <v>46082</v>
      </c>
      <c r="B117" s="39" t="inlineStr">
        <is>
          <t>Salt Shark</t>
        </is>
      </c>
      <c r="C117" s="39" t="inlineStr">
        <is>
          <t>Order Cut Off</t>
        </is>
      </c>
      <c r="E117" s="74" t="n">
        <v>0.95</v>
      </c>
      <c r="F117" s="39" t="n">
        <v>73</v>
      </c>
      <c r="G117" s="39" t="n">
        <v>79</v>
      </c>
      <c r="H117" s="74">
        <f>F159/G159</f>
        <v/>
      </c>
      <c r="I117" s="39">
        <f>IF(H159&gt;=E159,"Yes","No")</f>
        <v/>
      </c>
      <c r="J117" s="39" t="inlineStr">
        <is>
          <t>Below target - investigate root cause and add to next month's action plan</t>
        </is>
      </c>
    </row>
    <row r="118" ht="15" customHeight="1" s="34">
      <c r="A118" s="73" t="n">
        <v>46113</v>
      </c>
      <c r="B118" s="39" t="inlineStr">
        <is>
          <t>Aleger Studio</t>
        </is>
      </c>
      <c r="C118" s="39" t="inlineStr">
        <is>
          <t>Dock to Stock</t>
        </is>
      </c>
      <c r="E118" s="74" t="n">
        <v>0.95</v>
      </c>
      <c r="F118" s="39" t="n">
        <v>2</v>
      </c>
      <c r="G118" s="39" t="n">
        <v>2</v>
      </c>
      <c r="H118" s="74">
        <f>F145/G145</f>
        <v/>
      </c>
      <c r="I118" s="39">
        <f>IF(H145&gt;=E145,"Yes","No")</f>
        <v/>
      </c>
    </row>
    <row r="119" ht="15" customHeight="1" s="34">
      <c r="A119" s="73" t="n">
        <v>46113</v>
      </c>
      <c r="B119" s="39" t="inlineStr">
        <is>
          <t>Coromandel Mountains Company Limited</t>
        </is>
      </c>
      <c r="C119" s="39" t="inlineStr">
        <is>
          <t>Dock to Stock</t>
        </is>
      </c>
      <c r="E119" s="74" t="n">
        <v>0.95</v>
      </c>
      <c r="F119" s="39" t="n">
        <v>2</v>
      </c>
      <c r="G119" s="39" t="n">
        <v>3</v>
      </c>
      <c r="H119" s="74">
        <f>F146/G146</f>
        <v/>
      </c>
      <c r="I119" s="39">
        <f>IF(H146&gt;=E146,"Yes","No")</f>
        <v/>
      </c>
      <c r="J119" s="39" t="inlineStr">
        <is>
          <t>Below target - investigate root cause and add to next month's action plan</t>
        </is>
      </c>
    </row>
    <row r="120" ht="15" customHeight="1" s="34">
      <c r="A120" s="73" t="n">
        <v>46113</v>
      </c>
      <c r="B120" s="39" t="inlineStr">
        <is>
          <t>Jock Freight - SECA</t>
        </is>
      </c>
      <c r="C120" s="39" t="inlineStr">
        <is>
          <t>Dock to Stock</t>
        </is>
      </c>
      <c r="E120" s="74" t="n">
        <v>0.95</v>
      </c>
      <c r="F120" s="39" t="n">
        <v>0</v>
      </c>
      <c r="G120" s="39" t="n">
        <v>1</v>
      </c>
      <c r="H120" s="74">
        <f>F147/G147</f>
        <v/>
      </c>
      <c r="I120" s="39">
        <f>IF(H147&gt;=E147,"Yes","No")</f>
        <v/>
      </c>
      <c r="J120" s="39" t="inlineStr">
        <is>
          <t>Below target - investigate root cause and add to next month's action plan</t>
        </is>
      </c>
    </row>
    <row r="121" ht="15" customHeight="1" s="34">
      <c r="A121" s="73" t="n">
        <v>46113</v>
      </c>
      <c r="B121" s="39" t="inlineStr">
        <is>
          <t>May Eleven NZ</t>
        </is>
      </c>
      <c r="C121" s="39" t="inlineStr">
        <is>
          <t>Dock to Stock</t>
        </is>
      </c>
      <c r="E121" s="74" t="n">
        <v>0.95</v>
      </c>
      <c r="F121" s="39" t="n">
        <v>1</v>
      </c>
      <c r="G121" s="39" t="n">
        <v>1</v>
      </c>
      <c r="H121" s="74">
        <f>F148/G148</f>
        <v/>
      </c>
      <c r="I121" s="39">
        <f>IF(H148&gt;=E148,"Yes","No")</f>
        <v/>
      </c>
    </row>
    <row r="122" ht="15" customHeight="1" s="34">
      <c r="A122" s="73" t="n">
        <v>46113</v>
      </c>
      <c r="B122" s="39" t="inlineStr">
        <is>
          <t>Oricom</t>
        </is>
      </c>
      <c r="C122" s="39" t="inlineStr">
        <is>
          <t>Dock to Stock</t>
        </is>
      </c>
      <c r="E122" s="74" t="n">
        <v>0.95</v>
      </c>
      <c r="F122" s="39" t="n">
        <v>5</v>
      </c>
      <c r="G122" s="39" t="n">
        <v>7</v>
      </c>
      <c r="H122" s="74">
        <f>F149/G149</f>
        <v/>
      </c>
      <c r="I122" s="39">
        <f>IF(H149&gt;=E149,"Yes","No")</f>
        <v/>
      </c>
      <c r="J122" s="39" t="inlineStr">
        <is>
          <t>Below target - investigate root cause and add to next month's action plan</t>
        </is>
      </c>
    </row>
    <row r="123" ht="15" customHeight="1" s="34">
      <c r="A123" s="73" t="n">
        <v>46113</v>
      </c>
      <c r="B123" s="39" t="inlineStr">
        <is>
          <t>Salt Shark</t>
        </is>
      </c>
      <c r="C123" s="39" t="inlineStr">
        <is>
          <t>Dock to Stock</t>
        </is>
      </c>
      <c r="E123" s="74" t="n">
        <v>0.95</v>
      </c>
      <c r="F123" s="39" t="n">
        <v>1</v>
      </c>
      <c r="G123" s="39" t="n">
        <v>1</v>
      </c>
      <c r="H123" s="74">
        <f>F150/G150</f>
        <v/>
      </c>
      <c r="I123" s="39">
        <f>IF(H150&gt;=E150,"Yes","No")</f>
        <v/>
      </c>
    </row>
    <row r="124" ht="15" customHeight="1" s="34">
      <c r="A124" s="73" t="n">
        <v>46113</v>
      </c>
      <c r="B124" s="39" t="inlineStr">
        <is>
          <t>Vixxen</t>
        </is>
      </c>
      <c r="C124" s="39" t="inlineStr">
        <is>
          <t>Dock to Stock</t>
        </is>
      </c>
      <c r="E124" s="74" t="n">
        <v>0.95</v>
      </c>
      <c r="F124" s="39" t="n">
        <v>2</v>
      </c>
      <c r="G124" s="39" t="n">
        <v>2</v>
      </c>
      <c r="H124" s="74">
        <f>F151/G151</f>
        <v/>
      </c>
      <c r="I124" s="39">
        <f>IF(H151&gt;=E151,"Yes","No")</f>
        <v/>
      </c>
    </row>
    <row r="125" ht="15" customHeight="1" s="34">
      <c r="A125" s="73" t="n">
        <v>46113</v>
      </c>
      <c r="B125" s="39" t="inlineStr">
        <is>
          <t>Aleger Studio</t>
        </is>
      </c>
      <c r="C125" s="39" t="inlineStr">
        <is>
          <t>Order Cut Off</t>
        </is>
      </c>
      <c r="E125" s="74" t="n">
        <v>0.95</v>
      </c>
      <c r="F125" s="39" t="n">
        <v>6</v>
      </c>
      <c r="G125" s="39" t="n">
        <v>6</v>
      </c>
      <c r="H125" s="74">
        <f>F152/G152</f>
        <v/>
      </c>
      <c r="I125" s="39">
        <f>IF(H152&gt;=E152,"Yes","No")</f>
        <v/>
      </c>
    </row>
    <row r="126" ht="15" customHeight="1" s="34">
      <c r="A126" s="73" t="n">
        <v>46113</v>
      </c>
      <c r="B126" s="39" t="inlineStr">
        <is>
          <t>Coromandel Mountains Company Limited</t>
        </is>
      </c>
      <c r="C126" s="39" t="inlineStr">
        <is>
          <t>Order Cut Off</t>
        </is>
      </c>
      <c r="E126" s="74" t="n">
        <v>0.95</v>
      </c>
      <c r="F126" s="39" t="n">
        <v>1</v>
      </c>
      <c r="G126" s="39" t="n">
        <v>10</v>
      </c>
      <c r="H126" s="74">
        <f>F153/G153</f>
        <v/>
      </c>
      <c r="I126" s="39">
        <f>IF(H153&gt;=E153,"Yes","No")</f>
        <v/>
      </c>
      <c r="J126" s="39" t="inlineStr">
        <is>
          <t>Below target - investigate root cause and add to next month's action plan</t>
        </is>
      </c>
    </row>
    <row r="127" ht="15" customHeight="1" s="34">
      <c r="A127" s="73" t="n">
        <v>46113</v>
      </c>
      <c r="B127" s="39" t="inlineStr">
        <is>
          <t>Interior Images</t>
        </is>
      </c>
      <c r="C127" s="39" t="inlineStr">
        <is>
          <t>Order Cut Off</t>
        </is>
      </c>
      <c r="E127" s="74" t="n">
        <v>0.95</v>
      </c>
      <c r="F127" s="39" t="n">
        <v>0</v>
      </c>
      <c r="G127" s="39" t="n">
        <v>1</v>
      </c>
      <c r="H127" s="74">
        <f>F154/G154</f>
        <v/>
      </c>
      <c r="I127" s="39">
        <f>IF(H154&gt;=E154,"Yes","No")</f>
        <v/>
      </c>
      <c r="J127" s="39" t="inlineStr">
        <is>
          <t>Below target - investigate root cause and add to next month's action plan</t>
        </is>
      </c>
    </row>
    <row r="128" ht="15" customHeight="1" s="34">
      <c r="A128" s="73" t="n">
        <v>46113</v>
      </c>
      <c r="B128" s="39" t="inlineStr">
        <is>
          <t>Jock Freight - SECA</t>
        </is>
      </c>
      <c r="C128" s="39" t="inlineStr">
        <is>
          <t>Order Cut Off</t>
        </is>
      </c>
      <c r="E128" s="74" t="n">
        <v>0.95</v>
      </c>
      <c r="F128" s="39" t="n">
        <v>7</v>
      </c>
      <c r="G128" s="39" t="n">
        <v>15</v>
      </c>
      <c r="H128" s="74">
        <f>F155/G155</f>
        <v/>
      </c>
      <c r="I128" s="39">
        <f>IF(H155&gt;=E155,"Yes","No")</f>
        <v/>
      </c>
      <c r="J128" s="39" t="inlineStr">
        <is>
          <t>Below target - investigate root cause and add to next month's action plan</t>
        </is>
      </c>
    </row>
    <row r="129" ht="15" customHeight="1" s="34">
      <c r="A129" s="73" t="n">
        <v>46113</v>
      </c>
      <c r="B129" s="39" t="inlineStr">
        <is>
          <t>May Eleven NZ</t>
        </is>
      </c>
      <c r="C129" s="39" t="inlineStr">
        <is>
          <t>Order Cut Off</t>
        </is>
      </c>
      <c r="E129" s="74" t="n">
        <v>0.95</v>
      </c>
      <c r="F129" s="39" t="n">
        <v>1</v>
      </c>
      <c r="G129" s="39" t="n">
        <v>1</v>
      </c>
      <c r="H129" s="74">
        <f>F156/G156</f>
        <v/>
      </c>
      <c r="I129" s="39">
        <f>IF(H156&gt;=E156,"Yes","No")</f>
        <v/>
      </c>
    </row>
    <row r="130" ht="15" customHeight="1" s="34">
      <c r="A130" s="73" t="n">
        <v>46113</v>
      </c>
      <c r="B130" s="39" t="inlineStr">
        <is>
          <t>Oricom</t>
        </is>
      </c>
      <c r="C130" s="39" t="inlineStr">
        <is>
          <t>Order Cut Off</t>
        </is>
      </c>
      <c r="E130" s="74" t="n">
        <v>0.95</v>
      </c>
      <c r="F130" s="39" t="n">
        <v>15</v>
      </c>
      <c r="G130" s="39" t="n">
        <v>19</v>
      </c>
      <c r="H130" s="74">
        <f>F157/G157</f>
        <v/>
      </c>
      <c r="I130" s="39">
        <f>IF(H157&gt;=E157,"Yes","No")</f>
        <v/>
      </c>
      <c r="J130" s="39" t="inlineStr">
        <is>
          <t>Below target - investigate root cause and add to next month's action plan</t>
        </is>
      </c>
    </row>
    <row r="131" ht="15" customHeight="1" s="34">
      <c r="A131" s="73" t="n">
        <v>46113</v>
      </c>
      <c r="B131" s="39" t="inlineStr">
        <is>
          <t>Salt Shark</t>
        </is>
      </c>
      <c r="C131" s="39" t="inlineStr">
        <is>
          <t>Order Cut Off</t>
        </is>
      </c>
      <c r="E131" s="74" t="n">
        <v>0.95</v>
      </c>
      <c r="F131" s="39" t="n">
        <v>45</v>
      </c>
      <c r="G131" s="39" t="n">
        <v>59</v>
      </c>
      <c r="H131" s="74">
        <f>F158/G158</f>
        <v/>
      </c>
      <c r="I131" s="39">
        <f>IF(H158&gt;=E158,"Yes","No")</f>
        <v/>
      </c>
      <c r="J131" s="39" t="inlineStr">
        <is>
          <t>Below target - investigate root cause and add to next month's action plan</t>
        </is>
      </c>
    </row>
    <row r="132" ht="15" customHeight="1" s="34">
      <c r="A132" s="73" t="n">
        <v>46113</v>
      </c>
      <c r="B132" s="39" t="inlineStr">
        <is>
          <t>Vixxen</t>
        </is>
      </c>
      <c r="C132" s="39" t="inlineStr">
        <is>
          <t>Order Cut Off</t>
        </is>
      </c>
      <c r="E132" s="74" t="n">
        <v>0.95</v>
      </c>
      <c r="F132" s="39" t="n">
        <v>13</v>
      </c>
      <c r="G132" s="39" t="n">
        <v>16</v>
      </c>
      <c r="H132" s="74">
        <f>F159/G159</f>
        <v/>
      </c>
      <c r="I132" s="39">
        <f>IF(H159&gt;=E159,"Yes","No")</f>
        <v/>
      </c>
      <c r="J132" s="39" t="inlineStr">
        <is>
          <t>Below target - investigate root cause and add to next month's action plan</t>
        </is>
      </c>
    </row>
    <row r="133" ht="15" customHeight="1" s="34">
      <c r="A133" s="73" t="n">
        <v>46174</v>
      </c>
      <c r="B133" s="39" t="inlineStr">
        <is>
          <t>Aleger Studio</t>
        </is>
      </c>
      <c r="C133" s="39" t="inlineStr">
        <is>
          <t>Dock to Stock</t>
        </is>
      </c>
      <c r="E133" s="74" t="n">
        <v>0.95</v>
      </c>
      <c r="F133" s="39" t="n">
        <v>1</v>
      </c>
      <c r="G133" s="39" t="n">
        <v>2</v>
      </c>
      <c r="H133" s="74">
        <f>F133/G133</f>
        <v/>
      </c>
      <c r="I133" s="39">
        <f>IF(H133&gt;=E133,"Yes","No")</f>
        <v/>
      </c>
      <c r="J133" s="39" t="inlineStr">
        <is>
          <t>Below target - investigate root cause and add to next month's action plan</t>
        </is>
      </c>
    </row>
    <row r="134" ht="15" customHeight="1" s="34">
      <c r="A134" s="73" t="n">
        <v>46174</v>
      </c>
      <c r="B134" s="39" t="inlineStr">
        <is>
          <t>Cotton Soft  - Christchurch</t>
        </is>
      </c>
      <c r="C134" s="39" t="inlineStr">
        <is>
          <t>Dock to Stock</t>
        </is>
      </c>
      <c r="E134" s="74" t="n">
        <v>0.95</v>
      </c>
      <c r="F134" s="39" t="n">
        <v>2</v>
      </c>
      <c r="G134" s="39" t="n">
        <v>2</v>
      </c>
      <c r="H134" s="74">
        <f>F134/G134</f>
        <v/>
      </c>
      <c r="I134" s="39">
        <f>IF(H134&gt;=E134,"Yes","No")</f>
        <v/>
      </c>
    </row>
    <row r="135" ht="15" customHeight="1" s="34">
      <c r="A135" s="73" t="n">
        <v>46174</v>
      </c>
      <c r="B135" s="39" t="inlineStr">
        <is>
          <t>Flo &amp; Frankie</t>
        </is>
      </c>
      <c r="C135" s="39" t="inlineStr">
        <is>
          <t>Dock to Stock</t>
        </is>
      </c>
      <c r="E135" s="74" t="n">
        <v>0.95</v>
      </c>
      <c r="F135" s="39" t="n">
        <v>9</v>
      </c>
      <c r="G135" s="39" t="n">
        <v>9</v>
      </c>
      <c r="H135" s="74">
        <f>F135/G135</f>
        <v/>
      </c>
      <c r="I135" s="39">
        <f>IF(H135&gt;=E135,"Yes","No")</f>
        <v/>
      </c>
    </row>
    <row r="136" ht="15" customHeight="1" s="34">
      <c r="A136" s="73" t="n">
        <v>46174</v>
      </c>
      <c r="B136" s="39" t="inlineStr">
        <is>
          <t>Gym Equip</t>
        </is>
      </c>
      <c r="C136" s="39" t="inlineStr">
        <is>
          <t>Dock to Stock</t>
        </is>
      </c>
      <c r="E136" s="74" t="n">
        <v>0.95</v>
      </c>
      <c r="F136" s="39" t="n">
        <v>0</v>
      </c>
      <c r="G136" s="39" t="n">
        <v>1</v>
      </c>
      <c r="H136" s="74">
        <f>F136/G136</f>
        <v/>
      </c>
      <c r="I136" s="39">
        <f>IF(H136&gt;=E136,"Yes","No")</f>
        <v/>
      </c>
      <c r="J136" s="39" t="inlineStr">
        <is>
          <t>Below target - investigate root cause and add to next month's action plan</t>
        </is>
      </c>
    </row>
    <row r="137" ht="15" customHeight="1" s="34">
      <c r="A137" s="73" t="n">
        <v>46174</v>
      </c>
      <c r="B137" s="39" t="inlineStr">
        <is>
          <t>Interior Images</t>
        </is>
      </c>
      <c r="C137" s="39" t="inlineStr">
        <is>
          <t>Dock to Stock</t>
        </is>
      </c>
      <c r="E137" s="74" t="n">
        <v>0.95</v>
      </c>
      <c r="F137" s="39" t="n">
        <v>3</v>
      </c>
      <c r="G137" s="39" t="n">
        <v>3</v>
      </c>
      <c r="H137" s="74">
        <f>F137/G137</f>
        <v/>
      </c>
      <c r="I137" s="39">
        <f>IF(H137&gt;=E137,"Yes","No")</f>
        <v/>
      </c>
    </row>
    <row r="138" ht="15" customHeight="1" s="34">
      <c r="A138" s="73" t="n">
        <v>46174</v>
      </c>
      <c r="B138" s="39" t="inlineStr">
        <is>
          <t>Jock Freight - SECA</t>
        </is>
      </c>
      <c r="C138" s="39" t="inlineStr">
        <is>
          <t>Dock to Stock</t>
        </is>
      </c>
      <c r="E138" s="74" t="n">
        <v>0.95</v>
      </c>
      <c r="F138" s="39" t="n">
        <v>1</v>
      </c>
      <c r="G138" s="39" t="n">
        <v>1</v>
      </c>
      <c r="H138" s="74">
        <f>F138/G138</f>
        <v/>
      </c>
      <c r="I138" s="39">
        <f>IF(H138&gt;=E138,"Yes","No")</f>
        <v/>
      </c>
    </row>
    <row r="139" ht="15" customHeight="1" s="34">
      <c r="A139" s="73" t="n">
        <v>46174</v>
      </c>
      <c r="B139" s="39" t="inlineStr">
        <is>
          <t>Logwin - Sikla</t>
        </is>
      </c>
      <c r="C139" s="39" t="inlineStr">
        <is>
          <t>Dock to Stock</t>
        </is>
      </c>
      <c r="E139" s="74" t="n">
        <v>0.95</v>
      </c>
      <c r="F139" s="39" t="n">
        <v>4</v>
      </c>
      <c r="G139" s="39" t="n">
        <v>4</v>
      </c>
      <c r="H139" s="74">
        <f>F139/G139</f>
        <v/>
      </c>
      <c r="I139" s="39">
        <f>IF(H139&gt;=E139,"Yes","No")</f>
        <v/>
      </c>
    </row>
    <row r="140" ht="15" customHeight="1" s="34">
      <c r="A140" s="73" t="n">
        <v>46174</v>
      </c>
      <c r="B140" s="39" t="inlineStr">
        <is>
          <t>Made Group NZ</t>
        </is>
      </c>
      <c r="C140" s="39" t="inlineStr">
        <is>
          <t>Dock to Stock</t>
        </is>
      </c>
      <c r="E140" s="74" t="n">
        <v>0.95</v>
      </c>
      <c r="F140" s="39" t="n">
        <v>11</v>
      </c>
      <c r="G140" s="39" t="n">
        <v>11</v>
      </c>
      <c r="H140" s="74">
        <f>F140/G140</f>
        <v/>
      </c>
      <c r="I140" s="39">
        <f>IF(H140&gt;=E140,"Yes","No")</f>
        <v/>
      </c>
    </row>
    <row r="141" ht="15" customHeight="1" s="34">
      <c r="A141" s="73" t="n">
        <v>46174</v>
      </c>
      <c r="B141" s="39" t="inlineStr">
        <is>
          <t>Oricom</t>
        </is>
      </c>
      <c r="C141" s="39" t="inlineStr">
        <is>
          <t>Dock to Stock</t>
        </is>
      </c>
      <c r="E141" s="74" t="n">
        <v>0.95</v>
      </c>
      <c r="F141" s="39" t="n">
        <v>5</v>
      </c>
      <c r="G141" s="39" t="n">
        <v>6</v>
      </c>
      <c r="H141" s="74">
        <f>F141/G141</f>
        <v/>
      </c>
      <c r="I141" s="39">
        <f>IF(H141&gt;=E141,"Yes","No")</f>
        <v/>
      </c>
      <c r="J141" s="39" t="inlineStr">
        <is>
          <t>Below target - investigate root cause and add to next month's action plan</t>
        </is>
      </c>
    </row>
    <row r="142" ht="15" customHeight="1" s="34">
      <c r="A142" s="73" t="n">
        <v>46174</v>
      </c>
      <c r="B142" s="39" t="inlineStr">
        <is>
          <t>Purify Me</t>
        </is>
      </c>
      <c r="C142" s="39" t="inlineStr">
        <is>
          <t>Dock to Stock</t>
        </is>
      </c>
      <c r="E142" s="74" t="n">
        <v>0.95</v>
      </c>
      <c r="F142" s="39" t="n">
        <v>2</v>
      </c>
      <c r="G142" s="39" t="n">
        <v>2</v>
      </c>
      <c r="H142" s="74">
        <f>F142/G142</f>
        <v/>
      </c>
      <c r="I142" s="39">
        <f>IF(H142&gt;=E142,"Yes","No")</f>
        <v/>
      </c>
    </row>
    <row r="143" ht="15" customHeight="1" s="34">
      <c r="A143" s="73" t="n">
        <v>46174</v>
      </c>
      <c r="B143" s="39" t="inlineStr">
        <is>
          <t>Salt Shark</t>
        </is>
      </c>
      <c r="C143" s="39" t="inlineStr">
        <is>
          <t>Dock to Stock</t>
        </is>
      </c>
      <c r="E143" s="74" t="n">
        <v>0.95</v>
      </c>
      <c r="F143" s="39" t="n">
        <v>1</v>
      </c>
      <c r="G143" s="39" t="n">
        <v>1</v>
      </c>
      <c r="H143" s="74">
        <f>F143/G143</f>
        <v/>
      </c>
      <c r="I143" s="39">
        <f>IF(H143&gt;=E143,"Yes","No")</f>
        <v/>
      </c>
    </row>
    <row r="144" ht="15" customHeight="1" s="34">
      <c r="A144" s="73" t="n">
        <v>46174</v>
      </c>
      <c r="B144" s="39" t="inlineStr">
        <is>
          <t>Stryx</t>
        </is>
      </c>
      <c r="C144" s="39" t="inlineStr">
        <is>
          <t>Dock to Stock</t>
        </is>
      </c>
      <c r="E144" s="74" t="n">
        <v>0.95</v>
      </c>
      <c r="F144" s="39" t="n">
        <v>1</v>
      </c>
      <c r="G144" s="39" t="n">
        <v>1</v>
      </c>
      <c r="H144" s="74">
        <f>F144/G144</f>
        <v/>
      </c>
      <c r="I144" s="39">
        <f>IF(H144&gt;=E144,"Yes","No")</f>
        <v/>
      </c>
    </row>
    <row r="145" ht="15" customHeight="1" s="34">
      <c r="A145" s="73" t="n">
        <v>46174</v>
      </c>
      <c r="B145" s="39" t="inlineStr">
        <is>
          <t>Vixxen</t>
        </is>
      </c>
      <c r="C145" s="39" t="inlineStr">
        <is>
          <t>Dock to Stock</t>
        </is>
      </c>
      <c r="E145" s="74" t="n">
        <v>0.95</v>
      </c>
      <c r="F145" s="39" t="n">
        <v>2</v>
      </c>
      <c r="G145" s="39" t="n">
        <v>2</v>
      </c>
      <c r="H145" s="74">
        <f>F145/G145</f>
        <v/>
      </c>
      <c r="I145" s="39">
        <f>IF(H145&gt;=E145,"Yes","No")</f>
        <v/>
      </c>
    </row>
    <row r="146" ht="15" customHeight="1" s="34">
      <c r="A146" s="73" t="n">
        <v>46174</v>
      </c>
      <c r="B146" s="39" t="inlineStr">
        <is>
          <t>Aleger Studio</t>
        </is>
      </c>
      <c r="C146" s="39" t="inlineStr">
        <is>
          <t>Order Cut Off</t>
        </is>
      </c>
      <c r="E146" s="74" t="n">
        <v>0.95</v>
      </c>
      <c r="F146" s="39" t="n">
        <v>6</v>
      </c>
      <c r="G146" s="39" t="n">
        <v>6</v>
      </c>
      <c r="H146" s="74">
        <f>F146/G146</f>
        <v/>
      </c>
      <c r="I146" s="39">
        <f>IF(H146&gt;=E146,"Yes","No")</f>
        <v/>
      </c>
    </row>
    <row r="147" ht="15" customHeight="1" s="34">
      <c r="A147" s="73" t="n">
        <v>46174</v>
      </c>
      <c r="B147" s="39" t="inlineStr">
        <is>
          <t>Coromandel Mountains Company Limited</t>
        </is>
      </c>
      <c r="C147" s="39" t="inlineStr">
        <is>
          <t>Order Cut Off</t>
        </is>
      </c>
      <c r="E147" s="74" t="n">
        <v>0.95</v>
      </c>
      <c r="F147" s="39" t="n">
        <v>65</v>
      </c>
      <c r="G147" s="39" t="n">
        <v>85</v>
      </c>
      <c r="H147" s="74">
        <f>F147/G147</f>
        <v/>
      </c>
      <c r="I147" s="39">
        <f>IF(H147&gt;=E147,"Yes","No")</f>
        <v/>
      </c>
      <c r="J147" s="39" t="inlineStr">
        <is>
          <t>Below target - investigate root cause and add to next month's action plan</t>
        </is>
      </c>
    </row>
    <row r="148" ht="15" customHeight="1" s="34">
      <c r="A148" s="73" t="n">
        <v>46174</v>
      </c>
      <c r="B148" s="39" t="inlineStr">
        <is>
          <t>Flo &amp; Frankie</t>
        </is>
      </c>
      <c r="C148" s="39" t="inlineStr">
        <is>
          <t>Order Cut Off</t>
        </is>
      </c>
      <c r="E148" s="74" t="n">
        <v>0.95</v>
      </c>
      <c r="F148" s="39" t="n">
        <v>4</v>
      </c>
      <c r="G148" s="39" t="n">
        <v>4</v>
      </c>
      <c r="H148" s="74">
        <f>F148/G148</f>
        <v/>
      </c>
      <c r="I148" s="39">
        <f>IF(H148&gt;=E148,"Yes","No")</f>
        <v/>
      </c>
    </row>
    <row r="149" ht="15" customHeight="1" s="34">
      <c r="A149" s="73" t="n">
        <v>46174</v>
      </c>
      <c r="B149" s="39" t="inlineStr">
        <is>
          <t>Gym Equip</t>
        </is>
      </c>
      <c r="C149" s="39" t="inlineStr">
        <is>
          <t>Order Cut Off</t>
        </is>
      </c>
      <c r="E149" s="74" t="n">
        <v>0.95</v>
      </c>
      <c r="F149" s="39" t="n">
        <v>2</v>
      </c>
      <c r="G149" s="39" t="n">
        <v>9</v>
      </c>
      <c r="H149" s="74">
        <f>F149/G149</f>
        <v/>
      </c>
      <c r="I149" s="39">
        <f>IF(H149&gt;=E149,"Yes","No")</f>
        <v/>
      </c>
      <c r="J149" s="39" t="inlineStr">
        <is>
          <t>Below target - investigate root cause and add to next month's action plan</t>
        </is>
      </c>
    </row>
    <row r="150" ht="15" customHeight="1" s="34">
      <c r="A150" s="73" t="n">
        <v>46174</v>
      </c>
      <c r="B150" s="39" t="inlineStr">
        <is>
          <t>Interior Images</t>
        </is>
      </c>
      <c r="C150" s="39" t="inlineStr">
        <is>
          <t>Order Cut Off</t>
        </is>
      </c>
      <c r="E150" s="74" t="n">
        <v>0.95</v>
      </c>
      <c r="F150" s="39" t="n">
        <v>2</v>
      </c>
      <c r="G150" s="39" t="n">
        <v>6</v>
      </c>
      <c r="H150" s="74">
        <f>F150/G150</f>
        <v/>
      </c>
      <c r="I150" s="39">
        <f>IF(H150&gt;=E150,"Yes","No")</f>
        <v/>
      </c>
      <c r="J150" s="39" t="inlineStr">
        <is>
          <t>Below target - investigate root cause and add to next month's action plan</t>
        </is>
      </c>
    </row>
    <row r="151" ht="15" customHeight="1" s="34">
      <c r="A151" s="73" t="n">
        <v>46174</v>
      </c>
      <c r="B151" s="39" t="inlineStr">
        <is>
          <t>Jock Freight - SECA</t>
        </is>
      </c>
      <c r="C151" s="39" t="inlineStr">
        <is>
          <t>Order Cut Off</t>
        </is>
      </c>
      <c r="E151" s="74" t="n">
        <v>0.95</v>
      </c>
      <c r="F151" s="39" t="n">
        <v>5</v>
      </c>
      <c r="G151" s="39" t="n">
        <v>15</v>
      </c>
      <c r="H151" s="74">
        <f>F151/G151</f>
        <v/>
      </c>
      <c r="I151" s="39">
        <f>IF(H151&gt;=E151,"Yes","No")</f>
        <v/>
      </c>
      <c r="J151" s="39" t="inlineStr">
        <is>
          <t>Below target - investigate root cause and add to next month's action plan</t>
        </is>
      </c>
    </row>
    <row r="152" ht="15" customHeight="1" s="34">
      <c r="A152" s="73" t="n">
        <v>46174</v>
      </c>
      <c r="B152" s="39" t="inlineStr">
        <is>
          <t>Logwin - Sikla</t>
        </is>
      </c>
      <c r="C152" s="39" t="inlineStr">
        <is>
          <t>Order Cut Off</t>
        </is>
      </c>
      <c r="E152" s="74" t="n">
        <v>0.95</v>
      </c>
      <c r="F152" s="39" t="n">
        <v>1</v>
      </c>
      <c r="G152" s="39" t="n">
        <v>8</v>
      </c>
      <c r="H152" s="74">
        <f>F152/G152</f>
        <v/>
      </c>
      <c r="I152" s="39">
        <f>IF(H152&gt;=E152,"Yes","No")</f>
        <v/>
      </c>
      <c r="J152" s="39" t="inlineStr">
        <is>
          <t>Below target - investigate root cause and add to next month's action plan</t>
        </is>
      </c>
    </row>
    <row r="153" ht="15" customHeight="1" s="34">
      <c r="A153" s="73" t="n">
        <v>46174</v>
      </c>
      <c r="B153" s="39" t="inlineStr">
        <is>
          <t>Made Group NZ</t>
        </is>
      </c>
      <c r="C153" s="39" t="inlineStr">
        <is>
          <t>Order Cut Off</t>
        </is>
      </c>
      <c r="E153" s="74" t="n">
        <v>0.95</v>
      </c>
      <c r="F153" s="39" t="n">
        <v>2</v>
      </c>
      <c r="G153" s="39" t="n">
        <v>2</v>
      </c>
      <c r="H153" s="74">
        <f>F153/G153</f>
        <v/>
      </c>
      <c r="I153" s="39">
        <f>IF(H153&gt;=E153,"Yes","No")</f>
        <v/>
      </c>
    </row>
    <row r="154" ht="15" customHeight="1" s="34">
      <c r="A154" s="73" t="n">
        <v>46174</v>
      </c>
      <c r="B154" s="39" t="inlineStr">
        <is>
          <t>Oricom</t>
        </is>
      </c>
      <c r="C154" s="39" t="inlineStr">
        <is>
          <t>Order Cut Off</t>
        </is>
      </c>
      <c r="E154" s="74" t="n">
        <v>0.95</v>
      </c>
      <c r="F154" s="39" t="n">
        <v>130</v>
      </c>
      <c r="G154" s="39" t="n">
        <v>152</v>
      </c>
      <c r="H154" s="74">
        <f>F154/G154</f>
        <v/>
      </c>
      <c r="I154" s="39">
        <f>IF(H154&gt;=E154,"Yes","No")</f>
        <v/>
      </c>
      <c r="J154" s="39" t="inlineStr">
        <is>
          <t>Below target - investigate root cause and add to next month's action plan</t>
        </is>
      </c>
    </row>
    <row r="155" ht="15" customHeight="1" s="34">
      <c r="A155" s="73" t="n">
        <v>46174</v>
      </c>
      <c r="B155" s="39" t="inlineStr">
        <is>
          <t>Purify Me</t>
        </is>
      </c>
      <c r="C155" s="39" t="inlineStr">
        <is>
          <t>Order Cut Off</t>
        </is>
      </c>
      <c r="E155" s="74" t="n">
        <v>0.95</v>
      </c>
      <c r="F155" s="39" t="n">
        <v>24</v>
      </c>
      <c r="G155" s="39" t="n">
        <v>30</v>
      </c>
      <c r="H155" s="74">
        <f>F155/G155</f>
        <v/>
      </c>
      <c r="I155" s="39">
        <f>IF(H155&gt;=E155,"Yes","No")</f>
        <v/>
      </c>
      <c r="J155" s="39" t="inlineStr">
        <is>
          <t>Below target - investigate root cause and add to next month's action plan</t>
        </is>
      </c>
    </row>
    <row r="156" ht="15" customHeight="1" s="34">
      <c r="A156" s="73" t="n">
        <v>46174</v>
      </c>
      <c r="B156" s="39" t="inlineStr">
        <is>
          <t>Salt Shark</t>
        </is>
      </c>
      <c r="C156" s="39" t="inlineStr">
        <is>
          <t>Order Cut Off</t>
        </is>
      </c>
      <c r="E156" s="74" t="n">
        <v>0.95</v>
      </c>
      <c r="F156" s="39" t="n">
        <v>33</v>
      </c>
      <c r="G156" s="39" t="n">
        <v>53</v>
      </c>
      <c r="H156" s="74">
        <f>F156/G156</f>
        <v/>
      </c>
      <c r="I156" s="39">
        <f>IF(H156&gt;=E156,"Yes","No")</f>
        <v/>
      </c>
      <c r="J156" s="39" t="inlineStr">
        <is>
          <t>Below target - investigate root cause and add to next month's action plan</t>
        </is>
      </c>
    </row>
    <row r="157" ht="15" customHeight="1" s="34">
      <c r="A157" s="73" t="n">
        <v>46174</v>
      </c>
      <c r="B157" s="39" t="inlineStr">
        <is>
          <t>Stryx</t>
        </is>
      </c>
      <c r="C157" s="39" t="inlineStr">
        <is>
          <t>Order Cut Off</t>
        </is>
      </c>
      <c r="E157" s="74" t="n">
        <v>0.95</v>
      </c>
      <c r="F157" s="39" t="n">
        <v>22</v>
      </c>
      <c r="G157" s="39" t="n">
        <v>22</v>
      </c>
      <c r="H157" s="74">
        <f>F157/G157</f>
        <v/>
      </c>
      <c r="I157" s="39">
        <f>IF(H157&gt;=E157,"Yes","No")</f>
        <v/>
      </c>
    </row>
    <row r="158" ht="15" customHeight="1" s="34">
      <c r="A158" s="73" t="n">
        <v>46174</v>
      </c>
      <c r="B158" s="39" t="inlineStr">
        <is>
          <t>Vixxen</t>
        </is>
      </c>
      <c r="C158" s="39" t="inlineStr">
        <is>
          <t>Order Cut Off</t>
        </is>
      </c>
      <c r="E158" s="74" t="n">
        <v>0.95</v>
      </c>
      <c r="F158" s="39" t="n">
        <v>324</v>
      </c>
      <c r="G158" s="39" t="n">
        <v>331</v>
      </c>
      <c r="H158" s="74">
        <f>F158/G158</f>
        <v/>
      </c>
      <c r="I158" s="39">
        <f>IF(H158&gt;=E158,"Yes","No")</f>
        <v/>
      </c>
    </row>
    <row r="159" ht="15" customHeight="1" s="34">
      <c r="A159" s="73" t="n">
        <v>46204</v>
      </c>
      <c r="B159" s="39" t="inlineStr">
        <is>
          <t>Aleger Studio</t>
        </is>
      </c>
      <c r="C159" s="39" t="inlineStr">
        <is>
          <t>Dock to Stock</t>
        </is>
      </c>
      <c r="E159" s="74" t="n">
        <v>0.95</v>
      </c>
      <c r="F159" s="39" t="n">
        <v>1</v>
      </c>
      <c r="G159" s="39" t="n">
        <v>2</v>
      </c>
      <c r="H159" s="74">
        <f>F169/G169</f>
        <v/>
      </c>
      <c r="I159" s="39">
        <f>IF(H169&gt;=E169,"Yes","No")</f>
        <v/>
      </c>
      <c r="J159" s="39" t="inlineStr">
        <is>
          <t>Below target - investigate root cause and add to next month's action plan</t>
        </is>
      </c>
    </row>
    <row r="160" ht="15" customHeight="1" s="34">
      <c r="A160" s="73" t="n">
        <v>46204</v>
      </c>
      <c r="B160" s="39" t="inlineStr">
        <is>
          <t>Baking Tech</t>
        </is>
      </c>
      <c r="C160" s="39" t="inlineStr">
        <is>
          <t>Dock to Stock</t>
        </is>
      </c>
      <c r="E160" s="74" t="n">
        <v>0.95</v>
      </c>
      <c r="F160" s="39" t="n">
        <v>0</v>
      </c>
      <c r="G160" s="39" t="n">
        <v>1</v>
      </c>
      <c r="H160" s="74">
        <f>F170/G170</f>
        <v/>
      </c>
      <c r="I160" s="39">
        <f>IF(H170&gt;=E170,"Yes","No")</f>
        <v/>
      </c>
      <c r="J160" s="39" t="inlineStr">
        <is>
          <t>Below target - investigate root cause and add to next month's action plan</t>
        </is>
      </c>
    </row>
    <row r="161" ht="15" customHeight="1" s="34">
      <c r="A161" s="73" t="n">
        <v>46204</v>
      </c>
      <c r="B161" s="39" t="inlineStr">
        <is>
          <t>Coromandel Mountains Company Limited</t>
        </is>
      </c>
      <c r="C161" s="39" t="inlineStr">
        <is>
          <t>Dock to Stock</t>
        </is>
      </c>
      <c r="E161" s="74" t="n">
        <v>0.95</v>
      </c>
      <c r="F161" s="39" t="n">
        <v>3</v>
      </c>
      <c r="G161" s="39" t="n">
        <v>4</v>
      </c>
      <c r="H161" s="74">
        <f>F171/G171</f>
        <v/>
      </c>
      <c r="I161" s="39">
        <f>IF(H171&gt;=E171,"Yes","No")</f>
        <v/>
      </c>
      <c r="J161" s="39" t="inlineStr">
        <is>
          <t>Below target - investigate root cause and add to next month's action plan</t>
        </is>
      </c>
    </row>
    <row r="162" ht="15" customHeight="1" s="34">
      <c r="A162" s="73" t="n">
        <v>46204</v>
      </c>
      <c r="B162" s="39" t="inlineStr">
        <is>
          <t>EcoPallets</t>
        </is>
      </c>
      <c r="C162" s="39" t="inlineStr">
        <is>
          <t>Dock to Stock</t>
        </is>
      </c>
      <c r="E162" s="74" t="n">
        <v>0.95</v>
      </c>
      <c r="F162" s="39" t="n">
        <v>0</v>
      </c>
      <c r="G162" s="39" t="n">
        <v>1</v>
      </c>
      <c r="H162" s="74">
        <f>F172/G172</f>
        <v/>
      </c>
      <c r="I162" s="39">
        <f>IF(H172&gt;=E172,"Yes","No")</f>
        <v/>
      </c>
      <c r="J162" s="39" t="inlineStr">
        <is>
          <t>Below target - investigate root cause and add to next month's action plan</t>
        </is>
      </c>
    </row>
    <row r="163" ht="15" customHeight="1" s="34">
      <c r="A163" s="73" t="n">
        <v>46204</v>
      </c>
      <c r="B163" s="39" t="inlineStr">
        <is>
          <t>Flo &amp; Frankie</t>
        </is>
      </c>
      <c r="C163" s="39" t="inlineStr">
        <is>
          <t>Dock to Stock</t>
        </is>
      </c>
      <c r="E163" s="74" t="n">
        <v>0.95</v>
      </c>
      <c r="F163" s="39" t="n">
        <v>14</v>
      </c>
      <c r="G163" s="39" t="n">
        <v>14</v>
      </c>
      <c r="H163" s="74">
        <f>F173/G173</f>
        <v/>
      </c>
      <c r="I163" s="39">
        <f>IF(H173&gt;=E173,"Yes","No")</f>
        <v/>
      </c>
    </row>
    <row r="164" ht="15" customHeight="1" s="34">
      <c r="A164" s="73" t="n">
        <v>46204</v>
      </c>
      <c r="B164" s="39" t="inlineStr">
        <is>
          <t>Geodis</t>
        </is>
      </c>
      <c r="C164" s="39" t="inlineStr">
        <is>
          <t>Dock to Stock</t>
        </is>
      </c>
      <c r="E164" s="74" t="n">
        <v>0.95</v>
      </c>
      <c r="F164" s="39" t="n">
        <v>1</v>
      </c>
      <c r="G164" s="39" t="n">
        <v>2</v>
      </c>
      <c r="H164" s="74">
        <f>F174/G174</f>
        <v/>
      </c>
      <c r="I164" s="39">
        <f>IF(H174&gt;=E174,"Yes","No")</f>
        <v/>
      </c>
      <c r="J164" s="39" t="inlineStr">
        <is>
          <t>Below target - investigate root cause and add to next month's action plan</t>
        </is>
      </c>
    </row>
    <row r="165" ht="15" customHeight="1" s="34">
      <c r="A165" s="73" t="n">
        <v>46204</v>
      </c>
      <c r="B165" s="39" t="inlineStr">
        <is>
          <t>Jock Freight - SECA</t>
        </is>
      </c>
      <c r="C165" s="39" t="inlineStr">
        <is>
          <t>Dock to Stock</t>
        </is>
      </c>
      <c r="E165" s="74" t="n">
        <v>0.95</v>
      </c>
      <c r="F165" s="39" t="n">
        <v>1</v>
      </c>
      <c r="G165" s="39" t="n">
        <v>1</v>
      </c>
      <c r="H165" s="74">
        <f>F175/G175</f>
        <v/>
      </c>
      <c r="I165" s="39">
        <f>IF(H175&gt;=E175,"Yes","No")</f>
        <v/>
      </c>
    </row>
    <row r="166" ht="15" customHeight="1" s="34">
      <c r="A166" s="73" t="n">
        <v>46204</v>
      </c>
      <c r="B166" s="39" t="inlineStr">
        <is>
          <t>Logwin - Sikla</t>
        </is>
      </c>
      <c r="C166" s="39" t="inlineStr">
        <is>
          <t>Dock to Stock</t>
        </is>
      </c>
      <c r="E166" s="74" t="n">
        <v>0.95</v>
      </c>
      <c r="F166" s="39" t="n">
        <v>5</v>
      </c>
      <c r="G166" s="39" t="n">
        <v>5</v>
      </c>
      <c r="H166" s="74">
        <f>F176/G176</f>
        <v/>
      </c>
      <c r="I166" s="39">
        <f>IF(H176&gt;=E176,"Yes","No")</f>
        <v/>
      </c>
    </row>
    <row r="167" ht="15" customHeight="1" s="34">
      <c r="A167" s="73" t="n">
        <v>46204</v>
      </c>
      <c r="B167" s="39" t="inlineStr">
        <is>
          <t>Made Group NZ</t>
        </is>
      </c>
      <c r="C167" s="39" t="inlineStr">
        <is>
          <t>Dock to Stock</t>
        </is>
      </c>
      <c r="E167" s="74" t="n">
        <v>0.95</v>
      </c>
      <c r="F167" s="39" t="n">
        <v>15</v>
      </c>
      <c r="G167" s="39" t="n">
        <v>15</v>
      </c>
      <c r="H167" s="74">
        <f>F177/G177</f>
        <v/>
      </c>
      <c r="I167" s="39">
        <f>IF(H177&gt;=E177,"Yes","No")</f>
        <v/>
      </c>
    </row>
    <row r="168" ht="15" customHeight="1" s="34">
      <c r="A168" s="73" t="n">
        <v>46204</v>
      </c>
      <c r="B168" s="39" t="inlineStr">
        <is>
          <t>Madigan Freight Services</t>
        </is>
      </c>
      <c r="C168" s="39" t="inlineStr">
        <is>
          <t>Dock to Stock</t>
        </is>
      </c>
      <c r="E168" s="74" t="n">
        <v>0.95</v>
      </c>
      <c r="F168" s="39" t="n">
        <v>0</v>
      </c>
      <c r="G168" s="39" t="n">
        <v>1</v>
      </c>
      <c r="H168" s="74">
        <f>F178/G178</f>
        <v/>
      </c>
      <c r="I168" s="39">
        <f>IF(H178&gt;=E178,"Yes","No")</f>
        <v/>
      </c>
      <c r="J168" s="39" t="inlineStr">
        <is>
          <t>Below target - investigate root cause and add to next month's action plan</t>
        </is>
      </c>
    </row>
    <row r="169" ht="15" customHeight="1" s="34">
      <c r="A169" s="73" t="n">
        <v>46204</v>
      </c>
      <c r="B169" s="39" t="inlineStr">
        <is>
          <t>Method Global</t>
        </is>
      </c>
      <c r="C169" s="39" t="inlineStr">
        <is>
          <t>Dock to Stock</t>
        </is>
      </c>
      <c r="E169" s="74" t="n">
        <v>0.95</v>
      </c>
      <c r="F169" s="39" t="n">
        <v>0</v>
      </c>
      <c r="G169" s="39" t="n">
        <v>1</v>
      </c>
      <c r="H169" s="74">
        <f>F179/G179</f>
        <v/>
      </c>
      <c r="I169" s="39">
        <f>IF(H179&gt;=E179,"Yes","No")</f>
        <v/>
      </c>
      <c r="J169" s="39" t="inlineStr">
        <is>
          <t>Below target - investigate root cause and add to next month's action plan</t>
        </is>
      </c>
    </row>
    <row r="170" ht="15" customHeight="1" s="34">
      <c r="A170" s="73" t="n">
        <v>46204</v>
      </c>
      <c r="B170" s="39" t="inlineStr">
        <is>
          <t>Oricom</t>
        </is>
      </c>
      <c r="C170" s="39" t="inlineStr">
        <is>
          <t>Dock to Stock</t>
        </is>
      </c>
      <c r="E170" s="74" t="n">
        <v>0.95</v>
      </c>
      <c r="F170" s="39" t="n">
        <v>4</v>
      </c>
      <c r="G170" s="39" t="n">
        <v>5</v>
      </c>
      <c r="H170" s="74">
        <f>F180/G180</f>
        <v/>
      </c>
      <c r="I170" s="39">
        <f>IF(H180&gt;=E180,"Yes","No")</f>
        <v/>
      </c>
      <c r="J170" s="39" t="inlineStr">
        <is>
          <t>Below target - investigate root cause and add to next month's action plan</t>
        </is>
      </c>
    </row>
    <row r="171" ht="15" customHeight="1" s="34">
      <c r="A171" s="73" t="n">
        <v>46204</v>
      </c>
      <c r="B171" s="39" t="inlineStr">
        <is>
          <t>Purify Me</t>
        </is>
      </c>
      <c r="C171" s="39" t="inlineStr">
        <is>
          <t>Dock to Stock</t>
        </is>
      </c>
      <c r="E171" s="74" t="n">
        <v>0.95</v>
      </c>
      <c r="F171" s="39" t="n">
        <v>1</v>
      </c>
      <c r="G171" s="39" t="n">
        <v>1</v>
      </c>
      <c r="H171" s="74">
        <f>F181/G181</f>
        <v/>
      </c>
      <c r="I171" s="39">
        <f>IF(H181&gt;=E181,"Yes","No")</f>
        <v/>
      </c>
    </row>
    <row r="172" ht="15" customHeight="1" s="34">
      <c r="A172" s="73" t="n">
        <v>46204</v>
      </c>
      <c r="B172" s="39" t="inlineStr">
        <is>
          <t>Salt Shark</t>
        </is>
      </c>
      <c r="C172" s="39" t="inlineStr">
        <is>
          <t>Dock to Stock</t>
        </is>
      </c>
      <c r="E172" s="74" t="n">
        <v>0.95</v>
      </c>
      <c r="F172" s="39" t="n">
        <v>2</v>
      </c>
      <c r="G172" s="39" t="n">
        <v>2</v>
      </c>
      <c r="H172" s="74">
        <f>F182/G182</f>
        <v/>
      </c>
      <c r="I172" s="39">
        <f>IF(H182&gt;=E182,"Yes","No")</f>
        <v/>
      </c>
    </row>
    <row r="173" ht="15" customHeight="1" s="34">
      <c r="A173" s="73" t="n">
        <v>46204</v>
      </c>
      <c r="B173" s="39" t="inlineStr">
        <is>
          <t>Simply Clean</t>
        </is>
      </c>
      <c r="C173" s="39" t="inlineStr">
        <is>
          <t>Dock to Stock</t>
        </is>
      </c>
      <c r="E173" s="74" t="n">
        <v>0.95</v>
      </c>
      <c r="F173" s="39" t="n">
        <v>4</v>
      </c>
      <c r="G173" s="39" t="n">
        <v>5</v>
      </c>
      <c r="H173" s="74">
        <f>F183/G183</f>
        <v/>
      </c>
      <c r="I173" s="39">
        <f>IF(H183&gt;=E183,"Yes","No")</f>
        <v/>
      </c>
      <c r="J173" s="39" t="inlineStr">
        <is>
          <t>Below target - investigate root cause and add to next month's action plan</t>
        </is>
      </c>
    </row>
    <row r="174" ht="15" customHeight="1" s="34">
      <c r="A174" s="73" t="n">
        <v>46204</v>
      </c>
      <c r="B174" s="39" t="inlineStr">
        <is>
          <t>Vixxen</t>
        </is>
      </c>
      <c r="C174" s="39" t="inlineStr">
        <is>
          <t>Dock to Stock</t>
        </is>
      </c>
      <c r="E174" s="74" t="n">
        <v>0.95</v>
      </c>
      <c r="F174" s="39" t="n">
        <v>2</v>
      </c>
      <c r="G174" s="39" t="n">
        <v>2</v>
      </c>
      <c r="H174" s="74">
        <f>F184/G184</f>
        <v/>
      </c>
      <c r="I174" s="39">
        <f>IF(H184&gt;=E184,"Yes","No")</f>
        <v/>
      </c>
    </row>
    <row r="175" ht="15" customHeight="1" s="34">
      <c r="A175" s="73" t="n">
        <v>46204</v>
      </c>
      <c r="B175" s="39" t="inlineStr">
        <is>
          <t>Aleger Studio</t>
        </is>
      </c>
      <c r="C175" s="39" t="inlineStr">
        <is>
          <t>Order Cut Off</t>
        </is>
      </c>
      <c r="E175" s="74" t="n">
        <v>0.95</v>
      </c>
      <c r="F175" s="39" t="n">
        <v>8</v>
      </c>
      <c r="G175" s="39" t="n">
        <v>9</v>
      </c>
      <c r="H175" s="74">
        <f>F185/G185</f>
        <v/>
      </c>
      <c r="I175" s="39">
        <f>IF(H185&gt;=E185,"Yes","No")</f>
        <v/>
      </c>
      <c r="J175" s="39" t="inlineStr">
        <is>
          <t>Below target - investigate root cause and add to next month's action plan</t>
        </is>
      </c>
    </row>
    <row r="176" ht="15" customHeight="1" s="34">
      <c r="A176" s="73" t="n">
        <v>46204</v>
      </c>
      <c r="B176" s="39" t="inlineStr">
        <is>
          <t>Baking Tech</t>
        </is>
      </c>
      <c r="C176" s="39" t="inlineStr">
        <is>
          <t>Order Cut Off</t>
        </is>
      </c>
      <c r="E176" s="74" t="n">
        <v>0.95</v>
      </c>
      <c r="F176" s="39" t="n">
        <v>1</v>
      </c>
      <c r="G176" s="39" t="n">
        <v>1</v>
      </c>
      <c r="H176" s="74">
        <f>F186/G186</f>
        <v/>
      </c>
      <c r="I176" s="39">
        <f>IF(H186&gt;=E186,"Yes","No")</f>
        <v/>
      </c>
    </row>
    <row r="177" ht="15" customHeight="1" s="34">
      <c r="A177" s="73" t="n">
        <v>46204</v>
      </c>
      <c r="B177" s="39" t="inlineStr">
        <is>
          <t>Coromandel Mountains Company Limited</t>
        </is>
      </c>
      <c r="C177" s="39" t="inlineStr">
        <is>
          <t>Order Cut Off</t>
        </is>
      </c>
      <c r="E177" s="74" t="n">
        <v>0.95</v>
      </c>
      <c r="F177" s="39" t="n">
        <v>64</v>
      </c>
      <c r="G177" s="39" t="n">
        <v>67</v>
      </c>
      <c r="H177" s="74">
        <f>F187/G187</f>
        <v/>
      </c>
      <c r="I177" s="39">
        <f>IF(H187&gt;=E187,"Yes","No")</f>
        <v/>
      </c>
    </row>
    <row r="178" ht="15" customHeight="1" s="34">
      <c r="A178" s="73" t="n">
        <v>46204</v>
      </c>
      <c r="B178" s="39" t="inlineStr">
        <is>
          <t>Flo &amp; Frankie</t>
        </is>
      </c>
      <c r="C178" s="39" t="inlineStr">
        <is>
          <t>Order Cut Off</t>
        </is>
      </c>
      <c r="E178" s="74" t="n">
        <v>0.95</v>
      </c>
      <c r="F178" s="39" t="n">
        <v>15</v>
      </c>
      <c r="G178" s="39" t="n">
        <v>15</v>
      </c>
      <c r="H178" s="74">
        <f>F188/G188</f>
        <v/>
      </c>
      <c r="I178" s="39">
        <f>IF(H188&gt;=E188,"Yes","No")</f>
        <v/>
      </c>
    </row>
    <row r="179" ht="15" customHeight="1" s="34">
      <c r="A179" s="73" t="n">
        <v>46204</v>
      </c>
      <c r="B179" s="39" t="inlineStr">
        <is>
          <t>Geodis</t>
        </is>
      </c>
      <c r="C179" s="39" t="inlineStr">
        <is>
          <t>Order Cut Off</t>
        </is>
      </c>
      <c r="E179" s="74" t="n">
        <v>0.95</v>
      </c>
      <c r="F179" s="39" t="n">
        <v>0</v>
      </c>
      <c r="G179" s="39" t="n">
        <v>1</v>
      </c>
      <c r="H179" s="74">
        <f>F189/G189</f>
        <v/>
      </c>
      <c r="I179" s="39">
        <f>IF(H189&gt;=E189,"Yes","No")</f>
        <v/>
      </c>
      <c r="J179" s="39" t="inlineStr">
        <is>
          <t>Below target - investigate root cause and add to next month's action plan</t>
        </is>
      </c>
    </row>
    <row r="180" ht="15" customHeight="1" s="34">
      <c r="A180" s="73" t="n">
        <v>46204</v>
      </c>
      <c r="B180" s="39" t="inlineStr">
        <is>
          <t>Gym Equip</t>
        </is>
      </c>
      <c r="C180" s="39" t="inlineStr">
        <is>
          <t>Order Cut Off</t>
        </is>
      </c>
      <c r="E180" s="74" t="n">
        <v>0.95</v>
      </c>
      <c r="F180" s="39" t="n">
        <v>2</v>
      </c>
      <c r="G180" s="39" t="n">
        <v>3</v>
      </c>
      <c r="H180" s="74">
        <f>F190/G190</f>
        <v/>
      </c>
      <c r="I180" s="39">
        <f>IF(H190&gt;=E190,"Yes","No")</f>
        <v/>
      </c>
      <c r="J180" s="39" t="inlineStr">
        <is>
          <t>Below target - investigate root cause and add to next month's action plan</t>
        </is>
      </c>
    </row>
    <row r="181" ht="15" customHeight="1" s="34">
      <c r="A181" s="73" t="n">
        <v>46204</v>
      </c>
      <c r="B181" s="39" t="inlineStr">
        <is>
          <t>Interior Images</t>
        </is>
      </c>
      <c r="C181" s="39" t="inlineStr">
        <is>
          <t>Order Cut Off</t>
        </is>
      </c>
      <c r="E181" s="74" t="n">
        <v>0.95</v>
      </c>
      <c r="F181" s="39" t="n">
        <v>2</v>
      </c>
      <c r="G181" s="39" t="n">
        <v>6</v>
      </c>
      <c r="H181" s="74">
        <f>F191/G191</f>
        <v/>
      </c>
      <c r="I181" s="39">
        <f>IF(H191&gt;=E191,"Yes","No")</f>
        <v/>
      </c>
      <c r="J181" s="39" t="inlineStr">
        <is>
          <t>Below target - investigate root cause and add to next month's action plan</t>
        </is>
      </c>
    </row>
    <row r="182" ht="15" customHeight="1" s="34">
      <c r="A182" s="73" t="n">
        <v>46204</v>
      </c>
      <c r="B182" s="39" t="inlineStr">
        <is>
          <t>Jock Freight - SECA</t>
        </is>
      </c>
      <c r="C182" s="39" t="inlineStr">
        <is>
          <t>Order Cut Off</t>
        </is>
      </c>
      <c r="E182" s="74" t="n">
        <v>0.95</v>
      </c>
      <c r="F182" s="39" t="n">
        <v>12</v>
      </c>
      <c r="G182" s="39" t="n">
        <v>12</v>
      </c>
      <c r="H182" s="74">
        <f>F192/G192</f>
        <v/>
      </c>
      <c r="I182" s="39">
        <f>IF(H192&gt;=E192,"Yes","No")</f>
        <v/>
      </c>
    </row>
    <row r="183" ht="15" customHeight="1" s="34">
      <c r="A183" s="73" t="n">
        <v>46204</v>
      </c>
      <c r="B183" s="39" t="inlineStr">
        <is>
          <t>Logwin - Sikla</t>
        </is>
      </c>
      <c r="C183" s="39" t="inlineStr">
        <is>
          <t>Order Cut Off</t>
        </is>
      </c>
      <c r="E183" s="74" t="n">
        <v>0.95</v>
      </c>
      <c r="F183" s="39" t="n">
        <v>12</v>
      </c>
      <c r="G183" s="39" t="n">
        <v>15</v>
      </c>
      <c r="H183" s="74">
        <f>F193/G193</f>
        <v/>
      </c>
      <c r="I183" s="39">
        <f>IF(H193&gt;=E193,"Yes","No")</f>
        <v/>
      </c>
      <c r="J183" s="39" t="inlineStr">
        <is>
          <t>Below target - investigate root cause and add to next month's action plan</t>
        </is>
      </c>
    </row>
    <row r="184" ht="15" customHeight="1" s="34">
      <c r="A184" s="73" t="n">
        <v>46204</v>
      </c>
      <c r="B184" s="39" t="inlineStr">
        <is>
          <t>Made Group NZ</t>
        </is>
      </c>
      <c r="C184" s="39" t="inlineStr">
        <is>
          <t>Order Cut Off</t>
        </is>
      </c>
      <c r="E184" s="74" t="n">
        <v>0.95</v>
      </c>
      <c r="F184" s="39" t="n">
        <v>14</v>
      </c>
      <c r="G184" s="39" t="n">
        <v>14</v>
      </c>
      <c r="H184" s="74">
        <f>F194/G194</f>
        <v/>
      </c>
      <c r="I184" s="39">
        <f>IF(H194&gt;=E194,"Yes","No")</f>
        <v/>
      </c>
    </row>
    <row r="185" ht="15" customHeight="1" s="34">
      <c r="A185" s="73" t="n">
        <v>46204</v>
      </c>
      <c r="B185" s="39" t="inlineStr">
        <is>
          <t>Oricom</t>
        </is>
      </c>
      <c r="C185" s="39" t="inlineStr">
        <is>
          <t>Order Cut Off</t>
        </is>
      </c>
      <c r="E185" s="74" t="n">
        <v>0.95</v>
      </c>
      <c r="F185" s="39" t="n">
        <v>174</v>
      </c>
      <c r="G185" s="39" t="n">
        <v>181</v>
      </c>
      <c r="H185" s="74">
        <f>F195/G195</f>
        <v/>
      </c>
      <c r="I185" s="39">
        <f>IF(H195&gt;=E195,"Yes","No")</f>
        <v/>
      </c>
    </row>
    <row r="186" ht="15" customHeight="1" s="34">
      <c r="A186" s="73" t="n">
        <v>46204</v>
      </c>
      <c r="B186" s="39" t="inlineStr">
        <is>
          <t>Purify Me</t>
        </is>
      </c>
      <c r="C186" s="39" t="inlineStr">
        <is>
          <t>Order Cut Off</t>
        </is>
      </c>
      <c r="E186" s="74" t="n">
        <v>0.95</v>
      </c>
      <c r="F186" s="39" t="n">
        <v>91</v>
      </c>
      <c r="G186" s="39" t="n">
        <v>92</v>
      </c>
      <c r="H186" s="74">
        <f>F196/G196</f>
        <v/>
      </c>
      <c r="I186" s="39">
        <f>IF(H196&gt;=E196,"Yes","No")</f>
        <v/>
      </c>
    </row>
    <row r="187" ht="15" customHeight="1" s="34">
      <c r="A187" s="73" t="n">
        <v>46204</v>
      </c>
      <c r="B187" s="39" t="inlineStr">
        <is>
          <t>Salt Shark</t>
        </is>
      </c>
      <c r="C187" s="39" t="inlineStr">
        <is>
          <t>Order Cut Off</t>
        </is>
      </c>
      <c r="E187" s="74" t="n">
        <v>0.95</v>
      </c>
      <c r="F187" s="39" t="n">
        <v>16</v>
      </c>
      <c r="G187" s="39" t="n">
        <v>16</v>
      </c>
      <c r="H187" s="74">
        <f>F197/G197</f>
        <v/>
      </c>
      <c r="I187" s="39">
        <f>IF(H197&gt;=E197,"Yes","No")</f>
        <v/>
      </c>
    </row>
    <row r="188" ht="15" customHeight="1" s="34">
      <c r="A188" s="73" t="n">
        <v>46204</v>
      </c>
      <c r="B188" s="39" t="inlineStr">
        <is>
          <t>Stryx</t>
        </is>
      </c>
      <c r="C188" s="39" t="inlineStr">
        <is>
          <t>Order Cut Off</t>
        </is>
      </c>
      <c r="E188" s="74" t="n">
        <v>0.95</v>
      </c>
      <c r="F188" s="39" t="n">
        <v>14</v>
      </c>
      <c r="G188" s="39" t="n">
        <v>18</v>
      </c>
      <c r="H188" s="74">
        <f>F198/G198</f>
        <v/>
      </c>
      <c r="I188" s="39">
        <f>IF(H198&gt;=E198,"Yes","No")</f>
        <v/>
      </c>
      <c r="J188" s="39" t="inlineStr">
        <is>
          <t>Below target - investigate root cause and add to next month's action plan</t>
        </is>
      </c>
    </row>
    <row r="189" ht="15" customHeight="1" s="34">
      <c r="A189" s="73" t="n">
        <v>46204</v>
      </c>
      <c r="B189" s="39" t="inlineStr">
        <is>
          <t>Vixxen</t>
        </is>
      </c>
      <c r="C189" s="39" t="inlineStr">
        <is>
          <t>Order Cut Off</t>
        </is>
      </c>
      <c r="E189" s="74" t="n">
        <v>0.95</v>
      </c>
      <c r="F189" s="39" t="n">
        <v>396</v>
      </c>
      <c r="G189" s="39" t="n">
        <v>398</v>
      </c>
      <c r="H189" s="74">
        <f>F199/G199</f>
        <v/>
      </c>
      <c r="I189" s="39">
        <f>IF(H199&gt;=E199,"Yes","No")</f>
        <v/>
      </c>
    </row>
    <row r="190" ht="15" customHeight="1" s="34">
      <c r="A190" s="73" t="n">
        <v>46204</v>
      </c>
      <c r="B190" s="39" t="inlineStr">
        <is>
          <t>Aleger Studio</t>
        </is>
      </c>
      <c r="C190" s="39" t="inlineStr">
        <is>
          <t>Order Accuracy by Unit</t>
        </is>
      </c>
      <c r="E190" s="74" t="n">
        <v>0.995</v>
      </c>
      <c r="F190" s="39" t="n">
        <v>1</v>
      </c>
      <c r="G190" s="39" t="n">
        <v>1</v>
      </c>
      <c r="H190" s="74">
        <f>F200/G200</f>
        <v/>
      </c>
      <c r="I190" s="39">
        <f>IF(H200&gt;=E200,"Yes","No")</f>
        <v/>
      </c>
    </row>
    <row r="191" ht="15" customHeight="1" s="34">
      <c r="A191" s="73" t="n">
        <v>46204</v>
      </c>
      <c r="B191" s="39" t="inlineStr">
        <is>
          <t>Baking Tech</t>
        </is>
      </c>
      <c r="C191" s="39" t="inlineStr">
        <is>
          <t>Order Accuracy by Unit</t>
        </is>
      </c>
      <c r="E191" s="74" t="n">
        <v>0.995</v>
      </c>
      <c r="F191" s="39" t="n">
        <v>1</v>
      </c>
      <c r="G191" s="39" t="n">
        <v>1</v>
      </c>
      <c r="H191" s="74">
        <f>F201/G201</f>
        <v/>
      </c>
      <c r="I191" s="39">
        <f>IF(H201&gt;=E201,"Yes","No")</f>
        <v/>
      </c>
    </row>
    <row r="192" ht="15" customHeight="1" s="34">
      <c r="A192" s="73" t="n">
        <v>46204</v>
      </c>
      <c r="B192" s="39" t="inlineStr">
        <is>
          <t>Coromandel Mountains Company Limited</t>
        </is>
      </c>
      <c r="C192" s="39" t="inlineStr">
        <is>
          <t>Order Accuracy by Unit</t>
        </is>
      </c>
      <c r="E192" s="74" t="n">
        <v>0.995</v>
      </c>
      <c r="F192" s="39" t="n">
        <v>1</v>
      </c>
      <c r="G192" s="39" t="n">
        <v>1</v>
      </c>
      <c r="H192" s="74">
        <f>F202/G202</f>
        <v/>
      </c>
      <c r="I192" s="39">
        <f>IF(H202&gt;=E202,"Yes","No")</f>
        <v/>
      </c>
    </row>
    <row r="193" ht="15" customHeight="1" s="34">
      <c r="A193" s="73" t="n">
        <v>46204</v>
      </c>
      <c r="B193" s="39" t="inlineStr">
        <is>
          <t>EcoPallets</t>
        </is>
      </c>
      <c r="C193" s="39" t="inlineStr">
        <is>
          <t>Order Accuracy by Unit</t>
        </is>
      </c>
      <c r="E193" s="74" t="n">
        <v>0.995</v>
      </c>
      <c r="F193" s="39" t="n">
        <v>1</v>
      </c>
      <c r="G193" s="39" t="n">
        <v>1</v>
      </c>
      <c r="H193" s="74">
        <f>F203/G203</f>
        <v/>
      </c>
      <c r="I193" s="39">
        <f>IF(H203&gt;=E203,"Yes","No")</f>
        <v/>
      </c>
    </row>
    <row r="194" ht="15" customHeight="1" s="34">
      <c r="A194" s="73" t="n">
        <v>46204</v>
      </c>
      <c r="B194" s="39" t="inlineStr">
        <is>
          <t>Flo &amp; Frankie</t>
        </is>
      </c>
      <c r="C194" s="39" t="inlineStr">
        <is>
          <t>Order Accuracy by Unit</t>
        </is>
      </c>
      <c r="E194" s="74" t="n">
        <v>0.995</v>
      </c>
      <c r="F194" s="39" t="n">
        <v>1</v>
      </c>
      <c r="G194" s="39" t="n">
        <v>1</v>
      </c>
      <c r="H194" s="74">
        <f>F204/G204</f>
        <v/>
      </c>
      <c r="I194" s="39">
        <f>IF(H204&gt;=E204,"Yes","No")</f>
        <v/>
      </c>
    </row>
    <row r="195" ht="15" customHeight="1" s="34">
      <c r="A195" s="73" t="n">
        <v>46204</v>
      </c>
      <c r="B195" s="39" t="inlineStr">
        <is>
          <t>Geodis</t>
        </is>
      </c>
      <c r="C195" s="39" t="inlineStr">
        <is>
          <t>Order Accuracy by Unit</t>
        </is>
      </c>
      <c r="E195" s="74" t="n">
        <v>0.995</v>
      </c>
      <c r="F195" s="39" t="n">
        <v>1</v>
      </c>
      <c r="G195" s="39" t="n">
        <v>1</v>
      </c>
      <c r="H195" s="74">
        <f>F205/G205</f>
        <v/>
      </c>
      <c r="I195" s="39">
        <f>IF(H205&gt;=E205,"Yes","No")</f>
        <v/>
      </c>
    </row>
    <row r="196" ht="15" customHeight="1" s="34">
      <c r="A196" s="73" t="n">
        <v>46204</v>
      </c>
      <c r="B196" s="39" t="inlineStr">
        <is>
          <t>Gym Equip</t>
        </is>
      </c>
      <c r="C196" s="39" t="inlineStr">
        <is>
          <t>Order Accuracy by Unit</t>
        </is>
      </c>
      <c r="E196" s="74" t="n">
        <v>0.995</v>
      </c>
      <c r="F196" s="39" t="n">
        <v>1</v>
      </c>
      <c r="G196" s="39" t="n">
        <v>1</v>
      </c>
      <c r="H196" s="74">
        <f>F206/G206</f>
        <v/>
      </c>
      <c r="I196" s="39">
        <f>IF(H206&gt;=E206,"Yes","No")</f>
        <v/>
      </c>
    </row>
    <row r="197" ht="15" customHeight="1" s="34">
      <c r="A197" s="73" t="n">
        <v>46204</v>
      </c>
      <c r="B197" s="39" t="inlineStr">
        <is>
          <t>Interior Images</t>
        </is>
      </c>
      <c r="C197" s="39" t="inlineStr">
        <is>
          <t>Order Accuracy by Unit</t>
        </is>
      </c>
      <c r="E197" s="74" t="n">
        <v>0.995</v>
      </c>
      <c r="F197" s="39" t="n">
        <v>1</v>
      </c>
      <c r="G197" s="39" t="n">
        <v>1</v>
      </c>
      <c r="H197" s="74">
        <f>F207/G207</f>
        <v/>
      </c>
      <c r="I197" s="39">
        <f>IF(H207&gt;=E207,"Yes","No")</f>
        <v/>
      </c>
    </row>
    <row r="198" ht="15" customHeight="1" s="34">
      <c r="A198" s="73" t="n">
        <v>46204</v>
      </c>
      <c r="B198" s="39" t="inlineStr">
        <is>
          <t>Jock Freight - SECA</t>
        </is>
      </c>
      <c r="C198" s="39" t="inlineStr">
        <is>
          <t>Order Accuracy by Unit</t>
        </is>
      </c>
      <c r="E198" s="74" t="n">
        <v>0.995</v>
      </c>
      <c r="F198" s="39" t="n">
        <v>1</v>
      </c>
      <c r="G198" s="39" t="n">
        <v>1</v>
      </c>
      <c r="H198" s="74">
        <f>F208/G208</f>
        <v/>
      </c>
      <c r="I198" s="39">
        <f>IF(H208&gt;=E208,"Yes","No")</f>
        <v/>
      </c>
    </row>
    <row r="199" ht="15" customHeight="1" s="34">
      <c r="A199" s="73" t="n">
        <v>46204</v>
      </c>
      <c r="B199" s="39" t="inlineStr">
        <is>
          <t>Logwin - Sikla</t>
        </is>
      </c>
      <c r="C199" s="39" t="inlineStr">
        <is>
          <t>Order Accuracy by Unit</t>
        </is>
      </c>
      <c r="E199" s="74" t="n">
        <v>0.995</v>
      </c>
      <c r="F199" s="39" t="n">
        <v>1</v>
      </c>
      <c r="G199" s="39" t="n">
        <v>1</v>
      </c>
      <c r="H199" s="74">
        <f>F209/G209</f>
        <v/>
      </c>
      <c r="I199" s="39">
        <f>IF(H209&gt;=E209,"Yes","No")</f>
        <v/>
      </c>
    </row>
    <row r="200" ht="15" customHeight="1" s="34">
      <c r="A200" s="73" t="n">
        <v>46204</v>
      </c>
      <c r="B200" s="39" t="inlineStr">
        <is>
          <t>Made Group NZ</t>
        </is>
      </c>
      <c r="C200" s="39" t="inlineStr">
        <is>
          <t>Order Accuracy by Unit</t>
        </is>
      </c>
      <c r="E200" s="74" t="n">
        <v>0.995</v>
      </c>
      <c r="F200" s="39" t="n">
        <v>1</v>
      </c>
      <c r="G200" s="39" t="n">
        <v>1</v>
      </c>
      <c r="H200" s="74">
        <f>F210/G210</f>
        <v/>
      </c>
      <c r="I200" s="39">
        <f>IF(H210&gt;=E210,"Yes","No")</f>
        <v/>
      </c>
    </row>
    <row r="201" ht="15" customHeight="1" s="34">
      <c r="A201" s="73" t="n">
        <v>46204</v>
      </c>
      <c r="B201" s="39" t="inlineStr">
        <is>
          <t>Madigan Freight Services</t>
        </is>
      </c>
      <c r="C201" s="39" t="inlineStr">
        <is>
          <t>Order Accuracy by Unit</t>
        </is>
      </c>
      <c r="E201" s="74" t="n">
        <v>0.995</v>
      </c>
      <c r="F201" s="39" t="n">
        <v>1</v>
      </c>
      <c r="G201" s="39" t="n">
        <v>1</v>
      </c>
      <c r="H201" s="74">
        <f>F211/G211</f>
        <v/>
      </c>
      <c r="I201" s="39">
        <f>IF(H211&gt;=E211,"Yes","No")</f>
        <v/>
      </c>
    </row>
    <row r="202" ht="15" customHeight="1" s="34">
      <c r="A202" s="73" t="n">
        <v>46204</v>
      </c>
      <c r="B202" s="39" t="inlineStr">
        <is>
          <t>Method Global</t>
        </is>
      </c>
      <c r="C202" s="39" t="inlineStr">
        <is>
          <t>Order Accuracy by Unit</t>
        </is>
      </c>
      <c r="E202" s="74" t="n">
        <v>0.995</v>
      </c>
      <c r="F202" s="39" t="n">
        <v>1</v>
      </c>
      <c r="G202" s="39" t="n">
        <v>1</v>
      </c>
      <c r="H202" s="74">
        <f>F212/G212</f>
        <v/>
      </c>
      <c r="I202" s="39">
        <f>IF(H212&gt;=E212,"Yes","No")</f>
        <v/>
      </c>
    </row>
    <row r="203" ht="15" customHeight="1" s="34">
      <c r="A203" s="73" t="n">
        <v>46204</v>
      </c>
      <c r="B203" s="39" t="inlineStr">
        <is>
          <t>Oricom</t>
        </is>
      </c>
      <c r="C203" s="39" t="inlineStr">
        <is>
          <t>Order Accuracy by Unit</t>
        </is>
      </c>
      <c r="E203" s="74" t="n">
        <v>0.995</v>
      </c>
      <c r="F203" s="39" t="n">
        <v>1</v>
      </c>
      <c r="G203" s="39" t="n">
        <v>1</v>
      </c>
      <c r="H203" s="74">
        <f>F213/G213</f>
        <v/>
      </c>
      <c r="I203" s="39">
        <f>IF(H213&gt;=E213,"Yes","No")</f>
        <v/>
      </c>
    </row>
    <row r="204" ht="15" customHeight="1" s="34">
      <c r="A204" s="73" t="n">
        <v>46204</v>
      </c>
      <c r="B204" s="39" t="inlineStr">
        <is>
          <t>Purify Me</t>
        </is>
      </c>
      <c r="C204" s="39" t="inlineStr">
        <is>
          <t>Order Accuracy by Unit</t>
        </is>
      </c>
      <c r="E204" s="74" t="n">
        <v>0.995</v>
      </c>
      <c r="F204" s="39" t="n">
        <v>1</v>
      </c>
      <c r="G204" s="39" t="n">
        <v>1</v>
      </c>
      <c r="H204" s="74">
        <f>F214/G214</f>
        <v/>
      </c>
      <c r="I204" s="39">
        <f>IF(H214&gt;=E214,"Yes","No")</f>
        <v/>
      </c>
    </row>
    <row r="205" ht="15" customHeight="1" s="34">
      <c r="A205" s="73" t="n">
        <v>46204</v>
      </c>
      <c r="B205" s="39" t="inlineStr">
        <is>
          <t>Salt Shark</t>
        </is>
      </c>
      <c r="C205" s="39" t="inlineStr">
        <is>
          <t>Order Accuracy by Unit</t>
        </is>
      </c>
      <c r="E205" s="74" t="n">
        <v>0.995</v>
      </c>
      <c r="F205" s="39" t="n">
        <v>1</v>
      </c>
      <c r="G205" s="39" t="n">
        <v>1</v>
      </c>
      <c r="H205" s="74">
        <f>F215/G215</f>
        <v/>
      </c>
      <c r="I205" s="39">
        <f>IF(H215&gt;=E215,"Yes","No")</f>
        <v/>
      </c>
    </row>
    <row r="206" ht="15" customHeight="1" s="34">
      <c r="A206" s="73" t="n">
        <v>46204</v>
      </c>
      <c r="B206" s="39" t="inlineStr">
        <is>
          <t>Simply Clean</t>
        </is>
      </c>
      <c r="C206" s="39" t="inlineStr">
        <is>
          <t>Order Accuracy by Unit</t>
        </is>
      </c>
      <c r="E206" s="74" t="n">
        <v>0.995</v>
      </c>
      <c r="F206" s="39" t="n">
        <v>1</v>
      </c>
      <c r="G206" s="39" t="n">
        <v>1</v>
      </c>
      <c r="H206" s="74">
        <f>F216/G216</f>
        <v/>
      </c>
      <c r="I206" s="39">
        <f>IF(H216&gt;=E216,"Yes","No")</f>
        <v/>
      </c>
    </row>
    <row r="207" ht="15" customHeight="1" s="34">
      <c r="A207" s="73" t="n">
        <v>46204</v>
      </c>
      <c r="B207" s="39" t="inlineStr">
        <is>
          <t>Stryx</t>
        </is>
      </c>
      <c r="C207" s="39" t="inlineStr">
        <is>
          <t>Order Accuracy by Unit</t>
        </is>
      </c>
      <c r="E207" s="74" t="n">
        <v>0.995</v>
      </c>
      <c r="F207" s="39" t="n">
        <v>1</v>
      </c>
      <c r="G207" s="39" t="n">
        <v>1</v>
      </c>
      <c r="H207" s="74">
        <f>F217/G217</f>
        <v/>
      </c>
      <c r="I207" s="39">
        <f>IF(H217&gt;=E217,"Yes","No")</f>
        <v/>
      </c>
    </row>
    <row r="208" ht="15" customHeight="1" s="34">
      <c r="A208" s="73" t="n">
        <v>46204</v>
      </c>
      <c r="B208" s="39" t="inlineStr">
        <is>
          <t>Vixxen</t>
        </is>
      </c>
      <c r="C208" s="39" t="inlineStr">
        <is>
          <t>Order Accuracy by Unit</t>
        </is>
      </c>
      <c r="E208" s="74" t="n">
        <v>0.995</v>
      </c>
      <c r="F208" s="39" t="n">
        <v>1</v>
      </c>
      <c r="G208" s="39" t="n">
        <v>1</v>
      </c>
      <c r="H208" s="74">
        <f>F218/G218</f>
        <v/>
      </c>
      <c r="I208" s="39">
        <f>IF(H218&gt;=E218,"Yes","No")</f>
        <v/>
      </c>
    </row>
    <row r="209" ht="15" customHeight="1" s="34">
      <c r="A209" s="72" t="n">
        <v>46174</v>
      </c>
      <c r="B209" s="39" t="inlineStr">
        <is>
          <t>Aleger Studio</t>
        </is>
      </c>
      <c r="C209" s="39" t="inlineStr">
        <is>
          <t>Freight DIFOT</t>
        </is>
      </c>
      <c r="E209" s="39" t="n">
        <v>0.95</v>
      </c>
      <c r="F209" s="39" t="n">
        <v>4</v>
      </c>
      <c r="G209" s="39" t="n">
        <v>4</v>
      </c>
      <c r="H209" s="39">
        <f>F221/G221</f>
        <v/>
      </c>
      <c r="I209" s="39">
        <f>IF(H221&gt;=E221,"Yes","No")</f>
        <v/>
      </c>
    </row>
    <row r="210" ht="15" customHeight="1" s="34">
      <c r="A210" s="72" t="n">
        <v>46174</v>
      </c>
      <c r="B210" s="39" t="inlineStr">
        <is>
          <t>Coromandel Mountains Company Limited</t>
        </is>
      </c>
      <c r="C210" s="39" t="inlineStr">
        <is>
          <t>Freight DIFOT</t>
        </is>
      </c>
      <c r="E210" s="39" t="n">
        <v>0.95</v>
      </c>
      <c r="F210" s="39" t="n">
        <v>26</v>
      </c>
      <c r="G210" s="39" t="n">
        <v>26</v>
      </c>
      <c r="H210" s="39">
        <f>F222/G222</f>
        <v/>
      </c>
      <c r="I210" s="39">
        <f>IF(H222&gt;=E222,"Yes","No")</f>
        <v/>
      </c>
    </row>
    <row r="211" ht="15" customHeight="1" s="34">
      <c r="A211" s="72" t="n">
        <v>46174</v>
      </c>
      <c r="B211" s="39" t="inlineStr">
        <is>
          <t>Interior Images</t>
        </is>
      </c>
      <c r="C211" s="39" t="inlineStr">
        <is>
          <t>Freight DIFOT</t>
        </is>
      </c>
      <c r="E211" s="39" t="n">
        <v>0.95</v>
      </c>
      <c r="F211" s="39" t="n">
        <v>0</v>
      </c>
      <c r="G211" s="39" t="n">
        <v>1</v>
      </c>
      <c r="H211" s="39">
        <f>F223/G223</f>
        <v/>
      </c>
      <c r="I211" s="39">
        <f>IF(H223&gt;=E223,"Yes","No")</f>
        <v/>
      </c>
      <c r="J211" s="39" t="inlineStr">
        <is>
          <t>Below target - investigate root cause and add to next month's action plan</t>
        </is>
      </c>
    </row>
    <row r="212" ht="15" customHeight="1" s="34">
      <c r="A212" s="72" t="n">
        <v>46174</v>
      </c>
      <c r="B212" s="39" t="inlineStr">
        <is>
          <t>Jock Freight - SECA</t>
        </is>
      </c>
      <c r="C212" s="39" t="inlineStr">
        <is>
          <t>Freight DIFOT</t>
        </is>
      </c>
      <c r="E212" s="39" t="n">
        <v>0.95</v>
      </c>
      <c r="F212" s="39" t="n">
        <v>2</v>
      </c>
      <c r="G212" s="39" t="n">
        <v>2</v>
      </c>
      <c r="H212" s="39">
        <f>F224/G224</f>
        <v/>
      </c>
      <c r="I212" s="39">
        <f>IF(H224&gt;=E224,"Yes","No")</f>
        <v/>
      </c>
    </row>
    <row r="213" ht="15" customHeight="1" s="34">
      <c r="A213" s="72" t="n">
        <v>46174</v>
      </c>
      <c r="B213" s="39" t="inlineStr">
        <is>
          <t>Logwin - Sikla</t>
        </is>
      </c>
      <c r="C213" s="39" t="inlineStr">
        <is>
          <t>Freight DIFOT</t>
        </is>
      </c>
      <c r="E213" s="39" t="n">
        <v>0.95</v>
      </c>
      <c r="F213" s="39" t="n">
        <v>1</v>
      </c>
      <c r="G213" s="39" t="n">
        <v>1</v>
      </c>
      <c r="H213" s="39">
        <f>F225/G225</f>
        <v/>
      </c>
      <c r="I213" s="39">
        <f>IF(H225&gt;=E225,"Yes","No")</f>
        <v/>
      </c>
    </row>
    <row r="214" ht="15" customHeight="1" s="34">
      <c r="A214" s="72" t="n">
        <v>46174</v>
      </c>
      <c r="B214" s="39" t="inlineStr">
        <is>
          <t>Made Group NZ</t>
        </is>
      </c>
      <c r="C214" s="39" t="inlineStr">
        <is>
          <t>Freight DIFOT</t>
        </is>
      </c>
      <c r="E214" s="39" t="n">
        <v>0.95</v>
      </c>
      <c r="F214" s="39" t="n">
        <v>2</v>
      </c>
      <c r="G214" s="39" t="n">
        <v>2</v>
      </c>
      <c r="H214" s="39">
        <f>F226/G226</f>
        <v/>
      </c>
      <c r="I214" s="39">
        <f>IF(H226&gt;=E226,"Yes","No")</f>
        <v/>
      </c>
    </row>
    <row r="215" ht="15" customHeight="1" s="34">
      <c r="A215" s="72" t="n">
        <v>46174</v>
      </c>
      <c r="B215" s="39" t="inlineStr">
        <is>
          <t>Oricom</t>
        </is>
      </c>
      <c r="C215" s="39" t="inlineStr">
        <is>
          <t>Freight DIFOT</t>
        </is>
      </c>
      <c r="E215" s="39" t="n">
        <v>0.95</v>
      </c>
      <c r="F215" s="39" t="n">
        <v>30</v>
      </c>
      <c r="G215" s="39" t="n">
        <v>36</v>
      </c>
      <c r="H215" s="39">
        <f>F227/G227</f>
        <v/>
      </c>
      <c r="I215" s="39">
        <f>IF(H227&gt;=E227,"Yes","No")</f>
        <v/>
      </c>
      <c r="J215" s="39" t="inlineStr">
        <is>
          <t>Below target - investigate root cause and add to next month's action plan</t>
        </is>
      </c>
    </row>
    <row r="216" ht="15" customHeight="1" s="34">
      <c r="A216" s="72" t="n">
        <v>46174</v>
      </c>
      <c r="B216" s="39" t="inlineStr">
        <is>
          <t>Purify Me</t>
        </is>
      </c>
      <c r="C216" s="39" t="inlineStr">
        <is>
          <t>Freight DIFOT</t>
        </is>
      </c>
      <c r="E216" s="39" t="n">
        <v>0.95</v>
      </c>
      <c r="F216" s="39" t="n">
        <v>1</v>
      </c>
      <c r="G216" s="39" t="n">
        <v>1</v>
      </c>
      <c r="H216" s="39">
        <f>F228/G228</f>
        <v/>
      </c>
      <c r="I216" s="39">
        <f>IF(H228&gt;=E228,"Yes","No")</f>
        <v/>
      </c>
    </row>
    <row r="217" ht="15" customHeight="1" s="34">
      <c r="A217" s="72" t="n">
        <v>46174</v>
      </c>
      <c r="B217" s="39" t="inlineStr">
        <is>
          <t>Salt Shark</t>
        </is>
      </c>
      <c r="C217" s="39" t="inlineStr">
        <is>
          <t>Freight DIFOT</t>
        </is>
      </c>
      <c r="E217" s="39" t="n">
        <v>0.95</v>
      </c>
      <c r="F217" s="39" t="n">
        <v>15</v>
      </c>
      <c r="G217" s="39" t="n">
        <v>16</v>
      </c>
      <c r="H217" s="39">
        <f>F229/G229</f>
        <v/>
      </c>
      <c r="I217" s="39">
        <f>IF(H229&gt;=E229,"Yes","No")</f>
        <v/>
      </c>
      <c r="J217" s="39" t="inlineStr">
        <is>
          <t>Below target - investigate root cause and add to next month's action plan</t>
        </is>
      </c>
    </row>
    <row r="218" ht="15" customHeight="1" s="34">
      <c r="A218" s="72" t="n">
        <v>46174</v>
      </c>
      <c r="B218" s="39" t="inlineStr">
        <is>
          <t>Stryx</t>
        </is>
      </c>
      <c r="C218" s="39" t="inlineStr">
        <is>
          <t>Freight DIFOT</t>
        </is>
      </c>
      <c r="E218" s="39" t="n">
        <v>0.95</v>
      </c>
      <c r="F218" s="39" t="n">
        <v>8</v>
      </c>
      <c r="G218" s="39" t="n">
        <v>9</v>
      </c>
      <c r="H218" s="39">
        <f>F230/G230</f>
        <v/>
      </c>
      <c r="I218" s="39">
        <f>IF(H230&gt;=E230,"Yes","No")</f>
        <v/>
      </c>
      <c r="J218" s="39" t="inlineStr">
        <is>
          <t>Below target - investigate root cause and add to next month's action plan</t>
        </is>
      </c>
    </row>
    <row r="219" ht="15" customHeight="1" s="34">
      <c r="A219" s="72" t="n">
        <v>46174</v>
      </c>
      <c r="B219" s="39" t="inlineStr">
        <is>
          <t>Vixxen</t>
        </is>
      </c>
      <c r="C219" s="39" t="inlineStr">
        <is>
          <t>Freight DIFOT</t>
        </is>
      </c>
      <c r="E219" s="39" t="n">
        <v>0.95</v>
      </c>
      <c r="F219" s="39" t="n">
        <v>80</v>
      </c>
      <c r="G219" s="39" t="n">
        <v>87</v>
      </c>
      <c r="H219" s="39">
        <f>F231/G231</f>
        <v/>
      </c>
      <c r="I219" s="39">
        <f>IF(H231&gt;=E231,"Yes","No")</f>
        <v/>
      </c>
      <c r="J219" s="39" t="inlineStr">
        <is>
          <t>Below target - investigate root cause and add to next month's action plan</t>
        </is>
      </c>
    </row>
    <row r="220" ht="15" customHeight="1" s="34">
      <c r="A220" s="72" t="n">
        <v>46204</v>
      </c>
      <c r="B220" s="39" t="inlineStr">
        <is>
          <t>Aleger Studio</t>
        </is>
      </c>
      <c r="C220" s="39" t="inlineStr">
        <is>
          <t>Freight DIFOT</t>
        </is>
      </c>
      <c r="E220" s="39" t="n">
        <v>0.95</v>
      </c>
      <c r="F220" s="39" t="n">
        <v>3</v>
      </c>
      <c r="G220" s="39" t="n">
        <v>3</v>
      </c>
      <c r="H220" s="39">
        <f>F220/G220</f>
        <v/>
      </c>
      <c r="I220" s="39">
        <f>IF(H220&gt;=E220,"Yes","No")</f>
        <v/>
      </c>
    </row>
    <row r="221" ht="15" customHeight="1" s="34">
      <c r="A221" s="72" t="n">
        <v>46204</v>
      </c>
      <c r="B221" s="39" t="inlineStr">
        <is>
          <t>Coromandel Mountains Company Limited</t>
        </is>
      </c>
      <c r="C221" s="39" t="inlineStr">
        <is>
          <t>Freight DIFOT</t>
        </is>
      </c>
      <c r="E221" s="39" t="n">
        <v>0.95</v>
      </c>
      <c r="F221" s="39" t="n">
        <v>40</v>
      </c>
      <c r="G221" s="39" t="n">
        <v>47</v>
      </c>
      <c r="H221" s="39">
        <f>F221/G221</f>
        <v/>
      </c>
      <c r="I221" s="39">
        <f>IF(H221&gt;=E221,"Yes","No")</f>
        <v/>
      </c>
      <c r="J221" s="39" t="inlineStr">
        <is>
          <t>Below target - investigate root cause and add to next month's action plan</t>
        </is>
      </c>
    </row>
    <row r="222" ht="15" customHeight="1" s="34">
      <c r="A222" s="72" t="n">
        <v>46204</v>
      </c>
      <c r="B222" s="39" t="inlineStr">
        <is>
          <t>Flo &amp; Frankie</t>
        </is>
      </c>
      <c r="C222" s="39" t="inlineStr">
        <is>
          <t>Freight DIFOT</t>
        </is>
      </c>
      <c r="E222" s="39" t="n">
        <v>0.95</v>
      </c>
      <c r="F222" s="39" t="n">
        <v>5</v>
      </c>
      <c r="G222" s="39" t="n">
        <v>8</v>
      </c>
      <c r="H222" s="39">
        <f>F222/G222</f>
        <v/>
      </c>
      <c r="I222" s="39">
        <f>IF(H222&gt;=E222,"Yes","No")</f>
        <v/>
      </c>
      <c r="J222" s="39" t="inlineStr">
        <is>
          <t>Below target - investigate root cause and add to next month's action plan</t>
        </is>
      </c>
    </row>
    <row r="223" ht="15" customHeight="1" s="34">
      <c r="A223" s="72" t="n">
        <v>46204</v>
      </c>
      <c r="B223" s="39" t="inlineStr">
        <is>
          <t>Gym Equip</t>
        </is>
      </c>
      <c r="C223" s="39" t="inlineStr">
        <is>
          <t>Freight DIFOT</t>
        </is>
      </c>
      <c r="E223" s="39" t="n">
        <v>0.95</v>
      </c>
      <c r="F223" s="39" t="n">
        <v>3</v>
      </c>
      <c r="G223" s="39" t="n">
        <v>3</v>
      </c>
      <c r="H223" s="39">
        <f>F223/G223</f>
        <v/>
      </c>
      <c r="I223" s="39">
        <f>IF(H223&gt;=E223,"Yes","No")</f>
        <v/>
      </c>
    </row>
    <row r="224" ht="15" customHeight="1" s="34">
      <c r="A224" s="72" t="n">
        <v>46204</v>
      </c>
      <c r="B224" s="39" t="inlineStr">
        <is>
          <t>Interior Images</t>
        </is>
      </c>
      <c r="C224" s="39" t="inlineStr">
        <is>
          <t>Freight DIFOT</t>
        </is>
      </c>
      <c r="E224" s="39" t="n">
        <v>0.95</v>
      </c>
      <c r="F224" s="39" t="n">
        <v>2</v>
      </c>
      <c r="G224" s="39" t="n">
        <v>2</v>
      </c>
      <c r="H224" s="39">
        <f>F224/G224</f>
        <v/>
      </c>
      <c r="I224" s="39">
        <f>IF(H224&gt;=E224,"Yes","No")</f>
        <v/>
      </c>
    </row>
    <row r="225" ht="15" customHeight="1" s="34">
      <c r="A225" s="72" t="n">
        <v>46204</v>
      </c>
      <c r="B225" s="39" t="inlineStr">
        <is>
          <t>Jock Freight - SECA</t>
        </is>
      </c>
      <c r="C225" s="39" t="inlineStr">
        <is>
          <t>Freight DIFOT</t>
        </is>
      </c>
      <c r="E225" s="39" t="n">
        <v>0.95</v>
      </c>
      <c r="F225" s="39" t="n">
        <v>11</v>
      </c>
      <c r="G225" s="39" t="n">
        <v>12</v>
      </c>
      <c r="H225" s="39">
        <f>F225/G225</f>
        <v/>
      </c>
      <c r="I225" s="39">
        <f>IF(H225&gt;=E225,"Yes","No")</f>
        <v/>
      </c>
      <c r="J225" s="39" t="inlineStr">
        <is>
          <t>Below target - investigate root cause and add to next month's action plan</t>
        </is>
      </c>
    </row>
    <row r="226" ht="15" customHeight="1" s="34">
      <c r="A226" s="72" t="n">
        <v>46204</v>
      </c>
      <c r="B226" s="39" t="inlineStr">
        <is>
          <t>Logwin - Sikla</t>
        </is>
      </c>
      <c r="C226" s="39" t="inlineStr">
        <is>
          <t>Freight DIFOT</t>
        </is>
      </c>
      <c r="E226" s="39" t="n">
        <v>0.95</v>
      </c>
      <c r="F226" s="39" t="n">
        <v>5</v>
      </c>
      <c r="G226" s="39" t="n">
        <v>6</v>
      </c>
      <c r="H226" s="39">
        <f>F226/G226</f>
        <v/>
      </c>
      <c r="I226" s="39">
        <f>IF(H226&gt;=E226,"Yes","No")</f>
        <v/>
      </c>
      <c r="J226" s="39" t="inlineStr">
        <is>
          <t>Below target - investigate root cause and add to next month's action plan</t>
        </is>
      </c>
    </row>
    <row r="227" ht="15" customHeight="1" s="34">
      <c r="A227" s="72" t="n">
        <v>46204</v>
      </c>
      <c r="B227" s="39" t="inlineStr">
        <is>
          <t>Made Group NZ</t>
        </is>
      </c>
      <c r="C227" s="39" t="inlineStr">
        <is>
          <t>Freight DIFOT</t>
        </is>
      </c>
      <c r="E227" s="39" t="n">
        <v>0.95</v>
      </c>
      <c r="F227" s="39" t="n">
        <v>14</v>
      </c>
      <c r="G227" s="39" t="n">
        <v>14</v>
      </c>
      <c r="H227" s="39">
        <f>F227/G227</f>
        <v/>
      </c>
      <c r="I227" s="39">
        <f>IF(H227&gt;=E227,"Yes","No")</f>
        <v/>
      </c>
    </row>
    <row r="228" ht="15" customHeight="1" s="34">
      <c r="A228" s="72" t="n">
        <v>46204</v>
      </c>
      <c r="B228" s="39" t="inlineStr">
        <is>
          <t>Oricom</t>
        </is>
      </c>
      <c r="C228" s="39" t="inlineStr">
        <is>
          <t>Freight DIFOT</t>
        </is>
      </c>
      <c r="E228" s="39" t="n">
        <v>0.95</v>
      </c>
      <c r="F228" s="39" t="n">
        <v>113</v>
      </c>
      <c r="G228" s="39" t="n">
        <v>117</v>
      </c>
      <c r="H228" s="39">
        <f>F228/G228</f>
        <v/>
      </c>
      <c r="I228" s="39">
        <f>IF(H228&gt;=E228,"Yes","No")</f>
        <v/>
      </c>
    </row>
    <row r="229" ht="15" customHeight="1" s="34">
      <c r="A229" s="72" t="n">
        <v>46204</v>
      </c>
      <c r="B229" s="39" t="inlineStr">
        <is>
          <t>Purify Me</t>
        </is>
      </c>
      <c r="C229" s="39" t="inlineStr">
        <is>
          <t>Freight DIFOT</t>
        </is>
      </c>
      <c r="E229" s="39" t="n">
        <v>0.95</v>
      </c>
      <c r="F229" s="39" t="n">
        <v>49</v>
      </c>
      <c r="G229" s="39" t="n">
        <v>58</v>
      </c>
      <c r="H229" s="39">
        <f>F229/G229</f>
        <v/>
      </c>
      <c r="I229" s="39">
        <f>IF(H229&gt;=E229,"Yes","No")</f>
        <v/>
      </c>
      <c r="J229" s="39" t="inlineStr">
        <is>
          <t>Below target - investigate root cause and add to next month's action plan</t>
        </is>
      </c>
    </row>
    <row r="230" ht="15" customHeight="1" s="34">
      <c r="A230" s="72" t="n">
        <v>46204</v>
      </c>
      <c r="B230" s="39" t="inlineStr">
        <is>
          <t>Salt Shark</t>
        </is>
      </c>
      <c r="C230" s="39" t="inlineStr">
        <is>
          <t>Freight DIFOT</t>
        </is>
      </c>
      <c r="E230" s="39" t="n">
        <v>0.95</v>
      </c>
      <c r="F230" s="39" t="n">
        <v>10</v>
      </c>
      <c r="G230" s="39" t="n">
        <v>10</v>
      </c>
      <c r="H230" s="39">
        <f>F230/G230</f>
        <v/>
      </c>
      <c r="I230" s="39">
        <f>IF(H230&gt;=E230,"Yes","No")</f>
        <v/>
      </c>
    </row>
    <row r="231" ht="15" customHeight="1" s="34">
      <c r="A231" s="72" t="n">
        <v>46204</v>
      </c>
      <c r="B231" s="39" t="inlineStr">
        <is>
          <t>Stryx</t>
        </is>
      </c>
      <c r="C231" s="39" t="inlineStr">
        <is>
          <t>Freight DIFOT</t>
        </is>
      </c>
      <c r="E231" s="39" t="n">
        <v>0.95</v>
      </c>
      <c r="F231" s="39" t="n">
        <v>13</v>
      </c>
      <c r="G231" s="39" t="n">
        <v>13</v>
      </c>
      <c r="H231" s="39">
        <f>F231/G231</f>
        <v/>
      </c>
      <c r="I231" s="39">
        <f>IF(H231&gt;=E231,"Yes","No")</f>
        <v/>
      </c>
    </row>
    <row r="232" ht="15" customHeight="1" s="34">
      <c r="A232" s="72" t="n">
        <v>46204</v>
      </c>
      <c r="B232" s="39" t="inlineStr">
        <is>
          <t>Vixxen</t>
        </is>
      </c>
      <c r="C232" s="39" t="inlineStr">
        <is>
          <t>Freight DIFOT</t>
        </is>
      </c>
      <c r="E232" s="39" t="n">
        <v>0.95</v>
      </c>
      <c r="F232" s="39" t="n">
        <v>180</v>
      </c>
      <c r="G232" s="39" t="n">
        <v>208</v>
      </c>
      <c r="H232" s="39">
        <f>F232/G232</f>
        <v/>
      </c>
      <c r="I232" s="39">
        <f>IF(H232&gt;=E232,"Yes","No")</f>
        <v/>
      </c>
      <c r="J232" s="39" t="inlineStr">
        <is>
          <t>Below target - investigate root cause and add to next month's action plan</t>
        </is>
      </c>
    </row>
    <row r="233" ht="15" customHeight="1" s="34">
      <c r="A233" s="72" t="n">
        <v>46235</v>
      </c>
      <c r="B233" s="39" t="inlineStr">
        <is>
          <t>Coromandel Mountains Company Limited</t>
        </is>
      </c>
      <c r="C233" s="39" t="inlineStr">
        <is>
          <t>Freight DIFOT</t>
        </is>
      </c>
      <c r="E233" s="39" t="n">
        <v>0.95</v>
      </c>
      <c r="F233" s="39" t="n">
        <v>37</v>
      </c>
      <c r="G233" s="39" t="n">
        <v>41</v>
      </c>
      <c r="H233" s="39">
        <f>F289/G289</f>
        <v/>
      </c>
      <c r="I233" s="39">
        <f>IF(H289&gt;=E289,"Yes","No")</f>
        <v/>
      </c>
      <c r="J233" s="39" t="inlineStr">
        <is>
          <t>Below target - investigate root cause and add to next month's action plan</t>
        </is>
      </c>
    </row>
    <row r="234" ht="15" customHeight="1" s="34">
      <c r="A234" s="72" t="n">
        <v>46235</v>
      </c>
      <c r="B234" s="39" t="inlineStr">
        <is>
          <t>EcoPallets</t>
        </is>
      </c>
      <c r="C234" s="39" t="inlineStr">
        <is>
          <t>Freight DIFOT</t>
        </is>
      </c>
      <c r="E234" s="39" t="n">
        <v>0.95</v>
      </c>
      <c r="F234" s="39" t="n">
        <v>6</v>
      </c>
      <c r="G234" s="39" t="n">
        <v>6</v>
      </c>
      <c r="H234" s="39">
        <f>F290/G290</f>
        <v/>
      </c>
      <c r="I234" s="39">
        <f>IF(H290&gt;=E290,"Yes","No")</f>
        <v/>
      </c>
    </row>
    <row r="235" ht="15" customHeight="1" s="34">
      <c r="A235" s="72" t="n">
        <v>46235</v>
      </c>
      <c r="B235" s="39" t="inlineStr">
        <is>
          <t>Flo &amp; Frankie</t>
        </is>
      </c>
      <c r="C235" s="39" t="inlineStr">
        <is>
          <t>Freight DIFOT</t>
        </is>
      </c>
      <c r="E235" s="39" t="n">
        <v>0.95</v>
      </c>
      <c r="F235" s="39" t="n">
        <v>4</v>
      </c>
      <c r="G235" s="39" t="n">
        <v>6</v>
      </c>
      <c r="H235" s="39">
        <f>F291/G291</f>
        <v/>
      </c>
      <c r="I235" s="39">
        <f>IF(H291&gt;=E291,"Yes","No")</f>
        <v/>
      </c>
      <c r="J235" s="39" t="inlineStr">
        <is>
          <t>Below target - investigate root cause and add to next month's action plan</t>
        </is>
      </c>
    </row>
    <row r="236" ht="15" customHeight="1" s="34">
      <c r="A236" s="72" t="n">
        <v>46235</v>
      </c>
      <c r="B236" s="39" t="inlineStr">
        <is>
          <t>Geodis</t>
        </is>
      </c>
      <c r="C236" s="39" t="inlineStr">
        <is>
          <t>Freight DIFOT</t>
        </is>
      </c>
      <c r="E236" s="39" t="n">
        <v>0.95</v>
      </c>
      <c r="F236" s="39" t="n">
        <v>1</v>
      </c>
      <c r="G236" s="39" t="n">
        <v>1</v>
      </c>
      <c r="H236" s="39">
        <f>F292/G292</f>
        <v/>
      </c>
      <c r="I236" s="39">
        <f>IF(H292&gt;=E292,"Yes","No")</f>
        <v/>
      </c>
    </row>
    <row r="237" ht="15" customHeight="1" s="34">
      <c r="A237" s="72" t="n">
        <v>46235</v>
      </c>
      <c r="B237" s="39" t="inlineStr">
        <is>
          <t>Gym Equip</t>
        </is>
      </c>
      <c r="C237" s="39" t="inlineStr">
        <is>
          <t>Freight DIFOT</t>
        </is>
      </c>
      <c r="E237" s="39" t="n">
        <v>0.95</v>
      </c>
      <c r="F237" s="39" t="n">
        <v>2</v>
      </c>
      <c r="G237" s="39" t="n">
        <v>2</v>
      </c>
      <c r="H237" s="39">
        <f>F293/G293</f>
        <v/>
      </c>
      <c r="I237" s="39">
        <f>IF(H293&gt;=E293,"Yes","No")</f>
        <v/>
      </c>
    </row>
    <row r="238" ht="15" customHeight="1" s="34">
      <c r="A238" s="72" t="n">
        <v>46235</v>
      </c>
      <c r="B238" s="39" t="inlineStr">
        <is>
          <t>Interior Images</t>
        </is>
      </c>
      <c r="C238" s="39" t="inlineStr">
        <is>
          <t>Freight DIFOT</t>
        </is>
      </c>
      <c r="E238" s="39" t="n">
        <v>0.95</v>
      </c>
      <c r="F238" s="39" t="n">
        <v>2</v>
      </c>
      <c r="G238" s="39" t="n">
        <v>2</v>
      </c>
      <c r="H238" s="39">
        <f>F294/G294</f>
        <v/>
      </c>
      <c r="I238" s="39">
        <f>IF(H294&gt;=E294,"Yes","No")</f>
        <v/>
      </c>
    </row>
    <row r="239" ht="15" customHeight="1" s="34">
      <c r="A239" s="72" t="n">
        <v>46235</v>
      </c>
      <c r="B239" s="39" t="inlineStr">
        <is>
          <t>Jock Freight - SECA</t>
        </is>
      </c>
      <c r="C239" s="39" t="inlineStr">
        <is>
          <t>Freight DIFOT</t>
        </is>
      </c>
      <c r="E239" s="39" t="n">
        <v>0.95</v>
      </c>
      <c r="F239" s="39" t="n">
        <v>4</v>
      </c>
      <c r="G239" s="39" t="n">
        <v>6</v>
      </c>
      <c r="H239" s="39">
        <f>F295/G295</f>
        <v/>
      </c>
      <c r="I239" s="39">
        <f>IF(H295&gt;=E295,"Yes","No")</f>
        <v/>
      </c>
      <c r="J239" s="39" t="inlineStr">
        <is>
          <t>Below target - investigate root cause and add to next month's action plan</t>
        </is>
      </c>
    </row>
    <row r="240" ht="15" customHeight="1" s="34">
      <c r="A240" s="72" t="n">
        <v>46235</v>
      </c>
      <c r="B240" s="39" t="inlineStr">
        <is>
          <t>Logwin - Sikla</t>
        </is>
      </c>
      <c r="C240" s="39" t="inlineStr">
        <is>
          <t>Freight DIFOT</t>
        </is>
      </c>
      <c r="E240" s="39" t="n">
        <v>0.95</v>
      </c>
      <c r="F240" s="39" t="n">
        <v>13</v>
      </c>
      <c r="G240" s="39" t="n">
        <v>13</v>
      </c>
      <c r="H240" s="39">
        <f>F296/G296</f>
        <v/>
      </c>
      <c r="I240" s="39">
        <f>IF(H296&gt;=E296,"Yes","No")</f>
        <v/>
      </c>
    </row>
    <row r="241" ht="15" customHeight="1" s="34">
      <c r="A241" s="72" t="n">
        <v>46235</v>
      </c>
      <c r="B241" s="39" t="inlineStr">
        <is>
          <t>Made Group NZ</t>
        </is>
      </c>
      <c r="C241" s="39" t="inlineStr">
        <is>
          <t>Freight DIFOT</t>
        </is>
      </c>
      <c r="E241" s="39" t="n">
        <v>0.95</v>
      </c>
      <c r="F241" s="39" t="n">
        <v>1</v>
      </c>
      <c r="G241" s="39" t="n">
        <v>1</v>
      </c>
      <c r="H241" s="39">
        <f>F297/G297</f>
        <v/>
      </c>
      <c r="I241" s="39">
        <f>IF(H297&gt;=E297,"Yes","No")</f>
        <v/>
      </c>
    </row>
    <row r="242" ht="15" customHeight="1" s="34">
      <c r="A242" s="72" t="n">
        <v>46235</v>
      </c>
      <c r="B242" s="39" t="inlineStr">
        <is>
          <t>Madigan Freight Services</t>
        </is>
      </c>
      <c r="C242" s="39" t="inlineStr">
        <is>
          <t>Freight DIFOT</t>
        </is>
      </c>
      <c r="E242" s="39" t="n">
        <v>0.95</v>
      </c>
      <c r="F242" s="39" t="n">
        <v>1</v>
      </c>
      <c r="G242" s="39" t="n">
        <v>1</v>
      </c>
      <c r="H242" s="39">
        <f>F298/G298</f>
        <v/>
      </c>
      <c r="I242" s="39">
        <f>IF(H298&gt;=E298,"Yes","No")</f>
        <v/>
      </c>
    </row>
    <row r="243" ht="15" customHeight="1" s="34">
      <c r="A243" s="72" t="n">
        <v>46235</v>
      </c>
      <c r="B243" s="39" t="inlineStr">
        <is>
          <t>Method Global</t>
        </is>
      </c>
      <c r="C243" s="39" t="inlineStr">
        <is>
          <t>Freight DIFOT</t>
        </is>
      </c>
      <c r="E243" s="39" t="n">
        <v>0.95</v>
      </c>
      <c r="F243" s="39" t="n">
        <v>1</v>
      </c>
      <c r="G243" s="39" t="n">
        <v>1</v>
      </c>
      <c r="H243" s="39">
        <f>F299/G299</f>
        <v/>
      </c>
      <c r="I243" s="39">
        <f>IF(H299&gt;=E299,"Yes","No")</f>
        <v/>
      </c>
    </row>
    <row r="244" ht="15" customHeight="1" s="34">
      <c r="A244" s="72" t="n">
        <v>46235</v>
      </c>
      <c r="B244" s="39" t="inlineStr">
        <is>
          <t>Oricom</t>
        </is>
      </c>
      <c r="C244" s="39" t="inlineStr">
        <is>
          <t>Freight DIFOT</t>
        </is>
      </c>
      <c r="E244" s="39" t="n">
        <v>0.95</v>
      </c>
      <c r="F244" s="39" t="n">
        <v>79</v>
      </c>
      <c r="G244" s="39" t="n">
        <v>85</v>
      </c>
      <c r="H244" s="39">
        <f>F300/G300</f>
        <v/>
      </c>
      <c r="I244" s="39">
        <f>IF(H300&gt;=E300,"Yes","No")</f>
        <v/>
      </c>
      <c r="J244" s="39" t="inlineStr">
        <is>
          <t>Below target - investigate root cause and add to next month's action plan</t>
        </is>
      </c>
    </row>
    <row r="245" ht="15" customHeight="1" s="34">
      <c r="A245" s="72" t="n">
        <v>46235</v>
      </c>
      <c r="B245" s="39" t="inlineStr">
        <is>
          <t>Purify Me</t>
        </is>
      </c>
      <c r="C245" s="39" t="inlineStr">
        <is>
          <t>Freight DIFOT</t>
        </is>
      </c>
      <c r="E245" s="39" t="n">
        <v>0.95</v>
      </c>
      <c r="F245" s="39" t="n">
        <v>44</v>
      </c>
      <c r="G245" s="39" t="n">
        <v>50</v>
      </c>
      <c r="H245" s="39">
        <f>F301/G301</f>
        <v/>
      </c>
      <c r="I245" s="39">
        <f>IF(H301&gt;=E301,"Yes","No")</f>
        <v/>
      </c>
      <c r="J245" s="39" t="inlineStr">
        <is>
          <t>Below target - investigate root cause and add to next month's action plan</t>
        </is>
      </c>
    </row>
    <row r="246" ht="15" customHeight="1" s="34">
      <c r="A246" s="72" t="n">
        <v>46235</v>
      </c>
      <c r="B246" s="39" t="inlineStr">
        <is>
          <t>Salt Shark</t>
        </is>
      </c>
      <c r="C246" s="39" t="inlineStr">
        <is>
          <t>Freight DIFOT</t>
        </is>
      </c>
      <c r="E246" s="39" t="n">
        <v>0.95</v>
      </c>
      <c r="F246" s="39" t="n">
        <v>24</v>
      </c>
      <c r="G246" s="39" t="n">
        <v>25</v>
      </c>
      <c r="H246" s="39">
        <f>F302/G302</f>
        <v/>
      </c>
      <c r="I246" s="39">
        <f>IF(H302&gt;=E302,"Yes","No")</f>
        <v/>
      </c>
    </row>
    <row r="247" ht="15" customHeight="1" s="34">
      <c r="A247" s="72" t="n">
        <v>46235</v>
      </c>
      <c r="B247" s="39" t="inlineStr">
        <is>
          <t>Simply Clean</t>
        </is>
      </c>
      <c r="C247" s="39" t="inlineStr">
        <is>
          <t>Freight DIFOT</t>
        </is>
      </c>
      <c r="E247" s="39" t="n">
        <v>0.95</v>
      </c>
      <c r="F247" s="39" t="n">
        <v>67</v>
      </c>
      <c r="G247" s="39" t="n">
        <v>71</v>
      </c>
      <c r="H247" s="39">
        <f>F303/G303</f>
        <v/>
      </c>
      <c r="I247" s="39">
        <f>IF(H303&gt;=E303,"Yes","No")</f>
        <v/>
      </c>
      <c r="J247" s="39" t="inlineStr">
        <is>
          <t>Below target - investigate root cause and add to next month's action plan</t>
        </is>
      </c>
    </row>
    <row r="248" ht="15" customHeight="1" s="34">
      <c r="A248" s="72" t="n">
        <v>46235</v>
      </c>
      <c r="B248" s="39" t="inlineStr">
        <is>
          <t>Stryx</t>
        </is>
      </c>
      <c r="C248" s="39" t="inlineStr">
        <is>
          <t>Freight DIFOT</t>
        </is>
      </c>
      <c r="E248" s="39" t="n">
        <v>0.95</v>
      </c>
      <c r="F248" s="39" t="n">
        <v>10</v>
      </c>
      <c r="G248" s="39" t="n">
        <v>10</v>
      </c>
      <c r="H248" s="39">
        <f>F304/G304</f>
        <v/>
      </c>
      <c r="I248" s="39">
        <f>IF(H304&gt;=E304,"Yes","No")</f>
        <v/>
      </c>
    </row>
    <row r="249" ht="15" customHeight="1" s="34">
      <c r="A249" s="72" t="n">
        <v>46235</v>
      </c>
      <c r="B249" s="39" t="inlineStr">
        <is>
          <t>Vixxen</t>
        </is>
      </c>
      <c r="C249" s="39" t="inlineStr">
        <is>
          <t>Freight DIFOT</t>
        </is>
      </c>
      <c r="E249" s="39" t="n">
        <v>0.95</v>
      </c>
      <c r="F249" s="39" t="n">
        <v>209</v>
      </c>
      <c r="G249" s="39" t="n">
        <v>230</v>
      </c>
      <c r="H249" s="39">
        <f>F305/G305</f>
        <v/>
      </c>
      <c r="I249" s="39">
        <f>IF(H305&gt;=E305,"Yes","No")</f>
        <v/>
      </c>
      <c r="J249" s="39" t="inlineStr">
        <is>
          <t>Below target - investigate root cause and add to next month's action plan</t>
        </is>
      </c>
    </row>
    <row r="250" ht="15" customHeight="1" s="34">
      <c r="A250" s="73" t="n">
        <v>46235</v>
      </c>
      <c r="B250" s="39" t="inlineStr">
        <is>
          <t>Aleger Studio</t>
        </is>
      </c>
      <c r="C250" s="39" t="inlineStr">
        <is>
          <t>Dock to Stock</t>
        </is>
      </c>
      <c r="E250" s="74" t="n">
        <v>0.95</v>
      </c>
      <c r="F250" s="39" t="n">
        <v>2</v>
      </c>
      <c r="G250" s="39" t="n">
        <v>2</v>
      </c>
      <c r="H250" s="74">
        <f>F250/G250</f>
        <v/>
      </c>
      <c r="I250" s="39">
        <f>IF(H250&gt;=E250,"Yes","No")</f>
        <v/>
      </c>
    </row>
    <row r="251" ht="15" customHeight="1" s="34">
      <c r="A251" s="73" t="n">
        <v>46235</v>
      </c>
      <c r="B251" s="39" t="inlineStr">
        <is>
          <t>Coromandel Mountains Company Limited</t>
        </is>
      </c>
      <c r="C251" s="39" t="inlineStr">
        <is>
          <t>Dock to Stock</t>
        </is>
      </c>
      <c r="E251" s="74" t="n">
        <v>0.95</v>
      </c>
      <c r="F251" s="39" t="n">
        <v>2</v>
      </c>
      <c r="G251" s="39" t="n">
        <v>2</v>
      </c>
      <c r="H251" s="74">
        <f>F251/G251</f>
        <v/>
      </c>
      <c r="I251" s="39">
        <f>IF(H251&gt;=E251,"Yes","No")</f>
        <v/>
      </c>
    </row>
    <row r="252" ht="15" customHeight="1" s="34">
      <c r="A252" s="73" t="n">
        <v>46235</v>
      </c>
      <c r="B252" s="39" t="inlineStr">
        <is>
          <t>EcoPallets</t>
        </is>
      </c>
      <c r="C252" s="39" t="inlineStr">
        <is>
          <t>Dock to Stock</t>
        </is>
      </c>
      <c r="E252" s="74" t="n">
        <v>0.95</v>
      </c>
      <c r="F252" s="39" t="n">
        <v>1</v>
      </c>
      <c r="G252" s="39" t="n">
        <v>1</v>
      </c>
      <c r="H252" s="74">
        <f>F252/G252</f>
        <v/>
      </c>
      <c r="I252" s="39">
        <f>IF(H252&gt;=E252,"Yes","No")</f>
        <v/>
      </c>
    </row>
    <row r="253" ht="15" customHeight="1" s="34">
      <c r="A253" s="73" t="n">
        <v>46235</v>
      </c>
      <c r="B253" s="39" t="inlineStr">
        <is>
          <t>Flo &amp; Frankie</t>
        </is>
      </c>
      <c r="C253" s="39" t="inlineStr">
        <is>
          <t>Dock to Stock</t>
        </is>
      </c>
      <c r="E253" s="74" t="n">
        <v>0.95</v>
      </c>
      <c r="F253" s="39" t="n">
        <v>17</v>
      </c>
      <c r="G253" s="39" t="n">
        <v>17</v>
      </c>
      <c r="H253" s="74">
        <f>F253/G253</f>
        <v/>
      </c>
      <c r="I253" s="39">
        <f>IF(H253&gt;=E253,"Yes","No")</f>
        <v/>
      </c>
    </row>
    <row r="254" ht="15" customHeight="1" s="34">
      <c r="A254" s="73" t="n">
        <v>46235</v>
      </c>
      <c r="B254" s="39" t="inlineStr">
        <is>
          <t>Gym Equip</t>
        </is>
      </c>
      <c r="C254" s="39" t="inlineStr">
        <is>
          <t>Dock to Stock</t>
        </is>
      </c>
      <c r="E254" s="74" t="n">
        <v>0.95</v>
      </c>
      <c r="F254" s="39" t="n">
        <v>1</v>
      </c>
      <c r="G254" s="39" t="n">
        <v>1</v>
      </c>
      <c r="H254" s="74">
        <f>F254/G254</f>
        <v/>
      </c>
      <c r="I254" s="39">
        <f>IF(H254&gt;=E254,"Yes","No")</f>
        <v/>
      </c>
    </row>
    <row r="255" ht="15" customHeight="1" s="34">
      <c r="A255" s="73" t="n">
        <v>46235</v>
      </c>
      <c r="B255" s="39" t="inlineStr">
        <is>
          <t>Logwin - Sikla</t>
        </is>
      </c>
      <c r="C255" s="39" t="inlineStr">
        <is>
          <t>Dock to Stock</t>
        </is>
      </c>
      <c r="E255" s="74" t="n">
        <v>0.95</v>
      </c>
      <c r="F255" s="39" t="n">
        <v>2</v>
      </c>
      <c r="G255" s="39" t="n">
        <v>3</v>
      </c>
      <c r="H255" s="74">
        <f>F255/G255</f>
        <v/>
      </c>
      <c r="I255" s="39">
        <f>IF(H255&gt;=E255,"Yes","No")</f>
        <v/>
      </c>
      <c r="J255" s="39" t="inlineStr">
        <is>
          <t>Below target - investigate root cause and add to next month's action plan</t>
        </is>
      </c>
    </row>
    <row r="256" ht="15" customHeight="1" s="34">
      <c r="A256" s="73" t="n">
        <v>46235</v>
      </c>
      <c r="B256" s="39" t="inlineStr">
        <is>
          <t>Made Group NZ</t>
        </is>
      </c>
      <c r="C256" s="39" t="inlineStr">
        <is>
          <t>Dock to Stock</t>
        </is>
      </c>
      <c r="E256" s="74" t="n">
        <v>0.95</v>
      </c>
      <c r="F256" s="39" t="n">
        <v>10</v>
      </c>
      <c r="G256" s="39" t="n">
        <v>10</v>
      </c>
      <c r="H256" s="74">
        <f>F256/G256</f>
        <v/>
      </c>
      <c r="I256" s="39">
        <f>IF(H256&gt;=E256,"Yes","No")</f>
        <v/>
      </c>
    </row>
    <row r="257" ht="15" customHeight="1" s="34">
      <c r="A257" s="73" t="n">
        <v>46235</v>
      </c>
      <c r="B257" s="39" t="inlineStr">
        <is>
          <t>May Eleven NZ</t>
        </is>
      </c>
      <c r="C257" s="39" t="inlineStr">
        <is>
          <t>Dock to Stock</t>
        </is>
      </c>
      <c r="E257" s="74" t="n">
        <v>0.95</v>
      </c>
      <c r="F257" s="39" t="n">
        <v>1</v>
      </c>
      <c r="G257" s="39" t="n">
        <v>1</v>
      </c>
      <c r="H257" s="74">
        <f>F257/G257</f>
        <v/>
      </c>
      <c r="I257" s="39">
        <f>IF(H257&gt;=E257,"Yes","No")</f>
        <v/>
      </c>
    </row>
    <row r="258" ht="15" customHeight="1" s="34">
      <c r="A258" s="73" t="n">
        <v>46235</v>
      </c>
      <c r="B258" s="39" t="inlineStr">
        <is>
          <t>Oceanbridge</t>
        </is>
      </c>
      <c r="C258" s="39" t="inlineStr">
        <is>
          <t>Dock to Stock</t>
        </is>
      </c>
      <c r="E258" s="74" t="n">
        <v>0.95</v>
      </c>
      <c r="F258" s="39" t="n">
        <v>1</v>
      </c>
      <c r="G258" s="39" t="n">
        <v>1</v>
      </c>
      <c r="H258" s="74">
        <f>F258/G258</f>
        <v/>
      </c>
      <c r="I258" s="39">
        <f>IF(H258&gt;=E258,"Yes","No")</f>
        <v/>
      </c>
    </row>
    <row r="259" ht="15" customHeight="1" s="34">
      <c r="A259" s="73" t="n">
        <v>46235</v>
      </c>
      <c r="B259" s="39" t="inlineStr">
        <is>
          <t>Oricom</t>
        </is>
      </c>
      <c r="C259" s="39" t="inlineStr">
        <is>
          <t>Dock to Stock</t>
        </is>
      </c>
      <c r="E259" s="74" t="n">
        <v>0.95</v>
      </c>
      <c r="F259" s="39" t="n">
        <v>5</v>
      </c>
      <c r="G259" s="39" t="n">
        <v>5</v>
      </c>
      <c r="H259" s="74">
        <f>F259/G259</f>
        <v/>
      </c>
      <c r="I259" s="39">
        <f>IF(H259&gt;=E259,"Yes","No")</f>
        <v/>
      </c>
    </row>
    <row r="260" ht="15" customHeight="1" s="34">
      <c r="A260" s="73" t="n">
        <v>46235</v>
      </c>
      <c r="B260" s="39" t="inlineStr">
        <is>
          <t>Salt Shark</t>
        </is>
      </c>
      <c r="C260" s="39" t="inlineStr">
        <is>
          <t>Dock to Stock</t>
        </is>
      </c>
      <c r="E260" s="74" t="n">
        <v>0.95</v>
      </c>
      <c r="F260" s="39" t="n">
        <v>1</v>
      </c>
      <c r="G260" s="39" t="n">
        <v>1</v>
      </c>
      <c r="H260" s="74">
        <f>F260/G260</f>
        <v/>
      </c>
      <c r="I260" s="39">
        <f>IF(H260&gt;=E260,"Yes","No")</f>
        <v/>
      </c>
    </row>
    <row r="261" ht="15" customHeight="1" s="34">
      <c r="A261" s="73" t="n">
        <v>46235</v>
      </c>
      <c r="B261" s="39" t="inlineStr">
        <is>
          <t>Simply Clean</t>
        </is>
      </c>
      <c r="C261" s="39" t="inlineStr">
        <is>
          <t>Dock to Stock</t>
        </is>
      </c>
      <c r="E261" s="74" t="n">
        <v>0.95</v>
      </c>
      <c r="F261" s="39" t="n">
        <v>3</v>
      </c>
      <c r="G261" s="39" t="n">
        <v>3</v>
      </c>
      <c r="H261" s="74">
        <f>F261/G261</f>
        <v/>
      </c>
      <c r="I261" s="39">
        <f>IF(H261&gt;=E261,"Yes","No")</f>
        <v/>
      </c>
    </row>
    <row r="262" ht="15" customHeight="1" s="34">
      <c r="A262" s="73" t="n">
        <v>46235</v>
      </c>
      <c r="B262" s="39" t="inlineStr">
        <is>
          <t>Stryx</t>
        </is>
      </c>
      <c r="C262" s="39" t="inlineStr">
        <is>
          <t>Dock to Stock</t>
        </is>
      </c>
      <c r="E262" s="74" t="n">
        <v>0.95</v>
      </c>
      <c r="F262" s="39" t="n">
        <v>1</v>
      </c>
      <c r="G262" s="39" t="n">
        <v>1</v>
      </c>
      <c r="H262" s="74">
        <f>F262/G262</f>
        <v/>
      </c>
      <c r="I262" s="39">
        <f>IF(H262&gt;=E262,"Yes","No")</f>
        <v/>
      </c>
    </row>
    <row r="263" ht="15" customHeight="1" s="34">
      <c r="A263" s="73" t="n">
        <v>46235</v>
      </c>
      <c r="B263" s="39" t="inlineStr">
        <is>
          <t>Tesx</t>
        </is>
      </c>
      <c r="C263" s="39" t="inlineStr">
        <is>
          <t>Dock to Stock</t>
        </is>
      </c>
      <c r="E263" s="74" t="n">
        <v>0.95</v>
      </c>
      <c r="F263" s="39" t="n">
        <v>1</v>
      </c>
      <c r="G263" s="39" t="n">
        <v>1</v>
      </c>
      <c r="H263" s="74">
        <f>F263/G263</f>
        <v/>
      </c>
      <c r="I263" s="39">
        <f>IF(H263&gt;=E263,"Yes","No")</f>
        <v/>
      </c>
    </row>
    <row r="264" ht="15" customHeight="1" s="34">
      <c r="A264" s="73" t="n">
        <v>46235</v>
      </c>
      <c r="B264" s="39" t="inlineStr">
        <is>
          <t>Vixxen</t>
        </is>
      </c>
      <c r="C264" s="39" t="inlineStr">
        <is>
          <t>Dock to Stock</t>
        </is>
      </c>
      <c r="E264" s="74" t="n">
        <v>0.95</v>
      </c>
      <c r="F264" s="39" t="n">
        <v>1</v>
      </c>
      <c r="G264" s="39" t="n">
        <v>1</v>
      </c>
      <c r="H264" s="74">
        <f>F264/G264</f>
        <v/>
      </c>
      <c r="I264" s="39">
        <f>IF(H264&gt;=E264,"Yes","No")</f>
        <v/>
      </c>
    </row>
    <row r="265" ht="15" customHeight="1" s="34">
      <c r="A265" s="73" t="n">
        <v>46235</v>
      </c>
      <c r="B265" s="39" t="inlineStr">
        <is>
          <t>Aleger Studio</t>
        </is>
      </c>
      <c r="C265" s="39" t="inlineStr">
        <is>
          <t>Order Cut Off</t>
        </is>
      </c>
      <c r="E265" s="74" t="n">
        <v>0.95</v>
      </c>
      <c r="F265" s="39" t="n">
        <v>3</v>
      </c>
      <c r="G265" s="39" t="n">
        <v>3</v>
      </c>
      <c r="H265" s="74">
        <f>F265/G265</f>
        <v/>
      </c>
      <c r="I265" s="39">
        <f>IF(H265&gt;=E265,"Yes","No")</f>
        <v/>
      </c>
    </row>
    <row r="266" ht="15" customHeight="1" s="34">
      <c r="A266" s="73" t="n">
        <v>46235</v>
      </c>
      <c r="B266" s="39" t="inlineStr">
        <is>
          <t>Coromandel Mountains Company Limited</t>
        </is>
      </c>
      <c r="C266" s="39" t="inlineStr">
        <is>
          <t>Order Cut Off</t>
        </is>
      </c>
      <c r="E266" s="74" t="n">
        <v>0.95</v>
      </c>
      <c r="F266" s="39" t="n">
        <v>66</v>
      </c>
      <c r="G266" s="39" t="n">
        <v>66</v>
      </c>
      <c r="H266" s="74">
        <f>F266/G266</f>
        <v/>
      </c>
      <c r="I266" s="39">
        <f>IF(H266&gt;=E266,"Yes","No")</f>
        <v/>
      </c>
    </row>
    <row r="267" ht="15" customHeight="1" s="34">
      <c r="A267" s="73" t="n">
        <v>46235</v>
      </c>
      <c r="B267" s="39" t="inlineStr">
        <is>
          <t>EcoPallets</t>
        </is>
      </c>
      <c r="C267" s="39" t="inlineStr">
        <is>
          <t>Order Cut Off</t>
        </is>
      </c>
      <c r="E267" s="74" t="n">
        <v>0.95</v>
      </c>
      <c r="F267" s="39" t="n">
        <v>8</v>
      </c>
      <c r="G267" s="39" t="n">
        <v>10</v>
      </c>
      <c r="H267" s="74">
        <f>F267/G267</f>
        <v/>
      </c>
      <c r="I267" s="39">
        <f>IF(H267&gt;=E267,"Yes","No")</f>
        <v/>
      </c>
      <c r="J267" s="39" t="inlineStr">
        <is>
          <t>Below target - investigate root cause and add to next month's action plan</t>
        </is>
      </c>
    </row>
    <row r="268" ht="15" customHeight="1" s="34">
      <c r="A268" s="73" t="n">
        <v>46235</v>
      </c>
      <c r="B268" s="39" t="inlineStr">
        <is>
          <t>Flo &amp; Frankie</t>
        </is>
      </c>
      <c r="C268" s="39" t="inlineStr">
        <is>
          <t>Order Cut Off</t>
        </is>
      </c>
      <c r="E268" s="74" t="n">
        <v>0.95</v>
      </c>
      <c r="F268" s="39" t="n">
        <v>17</v>
      </c>
      <c r="G268" s="39" t="n">
        <v>17</v>
      </c>
      <c r="H268" s="74">
        <f>F268/G268</f>
        <v/>
      </c>
      <c r="I268" s="39">
        <f>IF(H268&gt;=E268,"Yes","No")</f>
        <v/>
      </c>
    </row>
    <row r="269" ht="15" customHeight="1" s="34">
      <c r="A269" s="73" t="n">
        <v>46235</v>
      </c>
      <c r="B269" s="39" t="inlineStr">
        <is>
          <t>Gym Equip</t>
        </is>
      </c>
      <c r="C269" s="39" t="inlineStr">
        <is>
          <t>Order Cut Off</t>
        </is>
      </c>
      <c r="E269" s="74" t="n">
        <v>0.95</v>
      </c>
      <c r="F269" s="39" t="n">
        <v>10</v>
      </c>
      <c r="G269" s="39" t="n">
        <v>10</v>
      </c>
      <c r="H269" s="74">
        <f>F269/G269</f>
        <v/>
      </c>
      <c r="I269" s="39">
        <f>IF(H269&gt;=E269,"Yes","No")</f>
        <v/>
      </c>
    </row>
    <row r="270" ht="15" customHeight="1" s="34">
      <c r="A270" s="73" t="n">
        <v>46235</v>
      </c>
      <c r="B270" s="39" t="inlineStr">
        <is>
          <t>Interior Images</t>
        </is>
      </c>
      <c r="C270" s="39" t="inlineStr">
        <is>
          <t>Order Cut Off</t>
        </is>
      </c>
      <c r="E270" s="74" t="n">
        <v>0.95</v>
      </c>
      <c r="F270" s="39" t="n">
        <v>4</v>
      </c>
      <c r="G270" s="39" t="n">
        <v>7</v>
      </c>
      <c r="H270" s="74">
        <f>F270/G270</f>
        <v/>
      </c>
      <c r="I270" s="39">
        <f>IF(H270&gt;=E270,"Yes","No")</f>
        <v/>
      </c>
      <c r="J270" s="39" t="inlineStr">
        <is>
          <t>Below target - investigate root cause and add to next month's action plan</t>
        </is>
      </c>
    </row>
    <row r="271" ht="15" customHeight="1" s="34">
      <c r="A271" s="73" t="n">
        <v>46235</v>
      </c>
      <c r="B271" s="39" t="inlineStr">
        <is>
          <t>Jock Freight - SECA</t>
        </is>
      </c>
      <c r="C271" s="39" t="inlineStr">
        <is>
          <t>Order Cut Off</t>
        </is>
      </c>
      <c r="E271" s="74" t="n">
        <v>0.95</v>
      </c>
      <c r="F271" s="39" t="n">
        <v>17</v>
      </c>
      <c r="G271" s="39" t="n">
        <v>18</v>
      </c>
      <c r="H271" s="74">
        <f>F271/G271</f>
        <v/>
      </c>
      <c r="I271" s="39">
        <f>IF(H271&gt;=E271,"Yes","No")</f>
        <v/>
      </c>
      <c r="J271" s="39" t="inlineStr">
        <is>
          <t>Below target - investigate root cause and add to next month's action plan</t>
        </is>
      </c>
    </row>
    <row r="272" ht="15" customHeight="1" s="34">
      <c r="A272" s="73" t="n">
        <v>46235</v>
      </c>
      <c r="B272" s="39" t="inlineStr">
        <is>
          <t>Logwin - Sikla</t>
        </is>
      </c>
      <c r="C272" s="39" t="inlineStr">
        <is>
          <t>Order Cut Off</t>
        </is>
      </c>
      <c r="E272" s="74" t="n">
        <v>0.95</v>
      </c>
      <c r="F272" s="39" t="n">
        <v>17</v>
      </c>
      <c r="G272" s="39" t="n">
        <v>17</v>
      </c>
      <c r="H272" s="74">
        <f>F272/G272</f>
        <v/>
      </c>
      <c r="I272" s="39">
        <f>IF(H272&gt;=E272,"Yes","No")</f>
        <v/>
      </c>
    </row>
    <row r="273" ht="15" customHeight="1" s="34">
      <c r="A273" s="73" t="n">
        <v>46235</v>
      </c>
      <c r="B273" s="39" t="inlineStr">
        <is>
          <t>Made Group NZ</t>
        </is>
      </c>
      <c r="C273" s="39" t="inlineStr">
        <is>
          <t>Order Cut Off</t>
        </is>
      </c>
      <c r="E273" s="74" t="n">
        <v>0.95</v>
      </c>
      <c r="F273" s="39" t="n">
        <v>1</v>
      </c>
      <c r="G273" s="39" t="n">
        <v>1</v>
      </c>
      <c r="H273" s="74">
        <f>F273/G273</f>
        <v/>
      </c>
      <c r="I273" s="39">
        <f>IF(H273&gt;=E273,"Yes","No")</f>
        <v/>
      </c>
    </row>
    <row r="274" ht="15" customHeight="1" s="34">
      <c r="A274" s="73" t="n">
        <v>46235</v>
      </c>
      <c r="B274" s="39" t="inlineStr">
        <is>
          <t>Madigan Freight Services</t>
        </is>
      </c>
      <c r="C274" s="39" t="inlineStr">
        <is>
          <t>Order Cut Off</t>
        </is>
      </c>
      <c r="E274" s="74" t="n">
        <v>0.95</v>
      </c>
      <c r="F274" s="39" t="n">
        <v>1</v>
      </c>
      <c r="G274" s="39" t="n">
        <v>1</v>
      </c>
      <c r="H274" s="74">
        <f>F274/G274</f>
        <v/>
      </c>
      <c r="I274" s="39">
        <f>IF(H274&gt;=E274,"Yes","No")</f>
        <v/>
      </c>
    </row>
    <row r="275" ht="15" customHeight="1" s="34">
      <c r="A275" s="73" t="n">
        <v>46235</v>
      </c>
      <c r="B275" s="39" t="inlineStr">
        <is>
          <t>May Eleven NZ</t>
        </is>
      </c>
      <c r="C275" s="39" t="inlineStr">
        <is>
          <t>Order Cut Off</t>
        </is>
      </c>
      <c r="E275" s="74" t="n">
        <v>0.95</v>
      </c>
      <c r="F275" s="39" t="n">
        <v>1</v>
      </c>
      <c r="G275" s="39" t="n">
        <v>1</v>
      </c>
      <c r="H275" s="74">
        <f>F275/G275</f>
        <v/>
      </c>
      <c r="I275" s="39">
        <f>IF(H275&gt;=E275,"Yes","No")</f>
        <v/>
      </c>
    </row>
    <row r="276" ht="15" customHeight="1" s="34">
      <c r="A276" s="73" t="n">
        <v>46235</v>
      </c>
      <c r="B276" s="39" t="inlineStr">
        <is>
          <t>Method Global</t>
        </is>
      </c>
      <c r="C276" s="39" t="inlineStr">
        <is>
          <t>Order Cut Off</t>
        </is>
      </c>
      <c r="E276" s="74" t="n">
        <v>0.95</v>
      </c>
      <c r="F276" s="39" t="n">
        <v>1</v>
      </c>
      <c r="G276" s="39" t="n">
        <v>1</v>
      </c>
      <c r="H276" s="74">
        <f>F276/G276</f>
        <v/>
      </c>
      <c r="I276" s="39">
        <f>IF(H276&gt;=E276,"Yes","No")</f>
        <v/>
      </c>
    </row>
    <row r="277" ht="15" customHeight="1" s="34">
      <c r="A277" s="73" t="n">
        <v>46235</v>
      </c>
      <c r="B277" s="39" t="inlineStr">
        <is>
          <t>Oricom</t>
        </is>
      </c>
      <c r="C277" s="39" t="inlineStr">
        <is>
          <t>Order Cut Off</t>
        </is>
      </c>
      <c r="E277" s="74" t="n">
        <v>0.95</v>
      </c>
      <c r="F277" s="39" t="n">
        <v>114</v>
      </c>
      <c r="G277" s="39" t="n">
        <v>118</v>
      </c>
      <c r="H277" s="74">
        <f>F277/G277</f>
        <v/>
      </c>
      <c r="I277" s="39">
        <f>IF(H277&gt;=E277,"Yes","No")</f>
        <v/>
      </c>
    </row>
    <row r="278" ht="15" customHeight="1" s="34">
      <c r="A278" s="73" t="n">
        <v>46235</v>
      </c>
      <c r="B278" s="39" t="inlineStr">
        <is>
          <t>Purify Me</t>
        </is>
      </c>
      <c r="C278" s="39" t="inlineStr">
        <is>
          <t>Order Cut Off</t>
        </is>
      </c>
      <c r="E278" s="74" t="n">
        <v>0.95</v>
      </c>
      <c r="F278" s="39" t="n">
        <v>77</v>
      </c>
      <c r="G278" s="39" t="n">
        <v>78</v>
      </c>
      <c r="H278" s="74">
        <f>F278/G278</f>
        <v/>
      </c>
      <c r="I278" s="39">
        <f>IF(H278&gt;=E278,"Yes","No")</f>
        <v/>
      </c>
    </row>
    <row r="279" ht="15" customHeight="1" s="34">
      <c r="A279" s="73" t="n">
        <v>46235</v>
      </c>
      <c r="B279" s="39" t="inlineStr">
        <is>
          <t>Salt Shark</t>
        </is>
      </c>
      <c r="C279" s="39" t="inlineStr">
        <is>
          <t>Order Cut Off</t>
        </is>
      </c>
      <c r="E279" s="74" t="n">
        <v>0.95</v>
      </c>
      <c r="F279" s="39" t="n">
        <v>68</v>
      </c>
      <c r="G279" s="39" t="n">
        <v>68</v>
      </c>
      <c r="H279" s="74">
        <f>F279/G279</f>
        <v/>
      </c>
      <c r="I279" s="39">
        <f>IF(H279&gt;=E279,"Yes","No")</f>
        <v/>
      </c>
    </row>
    <row r="280" ht="15" customHeight="1" s="34">
      <c r="A280" s="73" t="n">
        <v>46235</v>
      </c>
      <c r="B280" s="39" t="inlineStr">
        <is>
          <t>Samsung Batteries CP</t>
        </is>
      </c>
      <c r="C280" s="39" t="inlineStr">
        <is>
          <t>Order Cut Off</t>
        </is>
      </c>
      <c r="E280" s="74" t="n">
        <v>0.95</v>
      </c>
      <c r="F280" s="39" t="n">
        <v>1</v>
      </c>
      <c r="G280" s="39" t="n">
        <v>1</v>
      </c>
      <c r="H280" s="74">
        <f>F280/G280</f>
        <v/>
      </c>
      <c r="I280" s="39">
        <f>IF(H280&gt;=E280,"Yes","No")</f>
        <v/>
      </c>
    </row>
    <row r="281" ht="15" customHeight="1" s="34">
      <c r="A281" s="73" t="n">
        <v>46235</v>
      </c>
      <c r="B281" s="39" t="inlineStr">
        <is>
          <t>Simply Clean</t>
        </is>
      </c>
      <c r="C281" s="39" t="inlineStr">
        <is>
          <t>Order Cut Off</t>
        </is>
      </c>
      <c r="E281" s="74" t="n">
        <v>0.95</v>
      </c>
      <c r="F281" s="39" t="n">
        <v>154</v>
      </c>
      <c r="G281" s="39" t="n">
        <v>161</v>
      </c>
      <c r="H281" s="74">
        <f>F281/G281</f>
        <v/>
      </c>
      <c r="I281" s="39">
        <f>IF(H281&gt;=E281,"Yes","No")</f>
        <v/>
      </c>
    </row>
    <row r="282" ht="15" customHeight="1" s="34">
      <c r="A282" s="73" t="n">
        <v>46235</v>
      </c>
      <c r="B282" s="39" t="inlineStr">
        <is>
          <t>Stryx</t>
        </is>
      </c>
      <c r="C282" s="39" t="inlineStr">
        <is>
          <t>Order Cut Off</t>
        </is>
      </c>
      <c r="E282" s="74" t="n">
        <v>0.95</v>
      </c>
      <c r="F282" s="39" t="n">
        <v>35</v>
      </c>
      <c r="G282" s="39" t="n">
        <v>35</v>
      </c>
      <c r="H282" s="74">
        <f>F282/G282</f>
        <v/>
      </c>
      <c r="I282" s="39">
        <f>IF(H282&gt;=E282,"Yes","No")</f>
        <v/>
      </c>
    </row>
    <row r="283" ht="15" customHeight="1" s="34">
      <c r="A283" s="73" t="n">
        <v>46235</v>
      </c>
      <c r="B283" s="39" t="inlineStr">
        <is>
          <t>Vixxen</t>
        </is>
      </c>
      <c r="C283" s="39" t="inlineStr">
        <is>
          <t>Order Cut Off</t>
        </is>
      </c>
      <c r="E283" s="74" t="n">
        <v>0.95</v>
      </c>
      <c r="F283" s="39" t="n">
        <v>417</v>
      </c>
      <c r="G283" s="39" t="n">
        <v>418</v>
      </c>
      <c r="H283" s="74">
        <f>F283/G283</f>
        <v/>
      </c>
      <c r="I283" s="39">
        <f>IF(H283&gt;=E283,"Yes","No")</f>
        <v/>
      </c>
    </row>
    <row r="284" ht="15" customHeight="1" s="34">
      <c r="A284" s="73" t="n">
        <v>46235</v>
      </c>
      <c r="B284" s="39" t="inlineStr">
        <is>
          <t>Aleger Studio</t>
        </is>
      </c>
      <c r="C284" s="39" t="inlineStr">
        <is>
          <t>Order Accuracy by Unit</t>
        </is>
      </c>
      <c r="E284" s="74" t="n">
        <v>0.995</v>
      </c>
      <c r="F284" s="39" t="n">
        <v>8</v>
      </c>
      <c r="G284" s="39" t="n">
        <v>8</v>
      </c>
      <c r="H284" s="74">
        <f>F284/G284</f>
        <v/>
      </c>
      <c r="I284" s="39">
        <f>IF(H284&gt;=E284,"Yes","No")</f>
        <v/>
      </c>
    </row>
    <row r="285" ht="15" customHeight="1" s="34">
      <c r="A285" s="73" t="n">
        <v>46235</v>
      </c>
      <c r="B285" s="39" t="inlineStr">
        <is>
          <t>Coromandel Mountains Company Limited</t>
        </is>
      </c>
      <c r="C285" s="39" t="inlineStr">
        <is>
          <t>Order Accuracy by Unit</t>
        </is>
      </c>
      <c r="E285" s="74" t="n">
        <v>0.995</v>
      </c>
      <c r="F285" s="39" t="n">
        <v>380</v>
      </c>
      <c r="G285" s="39" t="n">
        <v>380</v>
      </c>
      <c r="H285" s="74">
        <f>F285/G285</f>
        <v/>
      </c>
      <c r="I285" s="39">
        <f>IF(H285&gt;=E285,"Yes","No")</f>
        <v/>
      </c>
    </row>
    <row r="286" ht="15" customHeight="1" s="34">
      <c r="A286" s="73" t="n">
        <v>46235</v>
      </c>
      <c r="B286" s="39" t="inlineStr">
        <is>
          <t>EcoPallets</t>
        </is>
      </c>
      <c r="C286" s="39" t="inlineStr">
        <is>
          <t>Order Accuracy by Unit</t>
        </is>
      </c>
      <c r="E286" s="74" t="n">
        <v>0.995</v>
      </c>
      <c r="F286" s="39" t="n">
        <v>192</v>
      </c>
      <c r="G286" s="39" t="n">
        <v>192</v>
      </c>
      <c r="H286" s="74">
        <f>F286/G286</f>
        <v/>
      </c>
      <c r="I286" s="39">
        <f>IF(H286&gt;=E286,"Yes","No")</f>
        <v/>
      </c>
    </row>
    <row r="287" ht="15" customHeight="1" s="34">
      <c r="A287" s="73" t="n">
        <v>46235</v>
      </c>
      <c r="B287" s="39" t="inlineStr">
        <is>
          <t>Flo &amp; Frankie</t>
        </is>
      </c>
      <c r="C287" s="39" t="inlineStr">
        <is>
          <t>Order Accuracy by Unit</t>
        </is>
      </c>
      <c r="E287" s="74" t="n">
        <v>0.995</v>
      </c>
      <c r="F287" s="39" t="n">
        <v>724</v>
      </c>
      <c r="G287" s="39" t="n">
        <v>724</v>
      </c>
      <c r="H287" s="74">
        <f>F287/G287</f>
        <v/>
      </c>
      <c r="I287" s="39">
        <f>IF(H287&gt;=E287,"Yes","No")</f>
        <v/>
      </c>
    </row>
    <row r="288" ht="15" customHeight="1" s="34">
      <c r="A288" s="73" t="n">
        <v>46235</v>
      </c>
      <c r="B288" s="39" t="inlineStr">
        <is>
          <t>Geodis</t>
        </is>
      </c>
      <c r="C288" s="39" t="inlineStr">
        <is>
          <t>Order Accuracy by Unit</t>
        </is>
      </c>
      <c r="E288" s="74" t="n">
        <v>0.995</v>
      </c>
      <c r="F288" s="39" t="n">
        <v>330050</v>
      </c>
      <c r="G288" s="39" t="n">
        <v>330050</v>
      </c>
      <c r="H288" s="74">
        <f>F288/G288</f>
        <v/>
      </c>
      <c r="I288" s="39">
        <f>IF(H288&gt;=E288,"Yes","No")</f>
        <v/>
      </c>
    </row>
    <row r="289" ht="15" customHeight="1" s="34">
      <c r="A289" s="73" t="n">
        <v>46235</v>
      </c>
      <c r="B289" s="39" t="inlineStr">
        <is>
          <t>Gym Equip</t>
        </is>
      </c>
      <c r="C289" s="39" t="inlineStr">
        <is>
          <t>Order Accuracy by Unit</t>
        </is>
      </c>
      <c r="E289" s="74" t="n">
        <v>0.995</v>
      </c>
      <c r="F289" s="39" t="n">
        <v>1</v>
      </c>
      <c r="G289" s="39" t="n">
        <v>1</v>
      </c>
      <c r="H289" s="74">
        <f>F289/G289</f>
        <v/>
      </c>
      <c r="I289" s="39">
        <f>IF(H289&gt;=E289,"Yes","No")</f>
        <v/>
      </c>
    </row>
    <row r="290" ht="15" customHeight="1" s="34">
      <c r="A290" s="73" t="n">
        <v>46235</v>
      </c>
      <c r="B290" s="39" t="inlineStr">
        <is>
          <t>Interior Images</t>
        </is>
      </c>
      <c r="C290" s="39" t="inlineStr">
        <is>
          <t>Order Accuracy by Unit</t>
        </is>
      </c>
      <c r="E290" s="74" t="n">
        <v>0.995</v>
      </c>
      <c r="F290" s="39" t="n">
        <v>158</v>
      </c>
      <c r="G290" s="39" t="n">
        <v>158</v>
      </c>
      <c r="H290" s="74">
        <f>F290/G290</f>
        <v/>
      </c>
      <c r="I290" s="39">
        <f>IF(H290&gt;=E290,"Yes","No")</f>
        <v/>
      </c>
    </row>
    <row r="291" ht="15" customHeight="1" s="34">
      <c r="A291" s="73" t="n">
        <v>46235</v>
      </c>
      <c r="B291" s="39" t="inlineStr">
        <is>
          <t>Jock Freight - SECA</t>
        </is>
      </c>
      <c r="C291" s="39" t="inlineStr">
        <is>
          <t>Order Accuracy by Unit</t>
        </is>
      </c>
      <c r="E291" s="74" t="n">
        <v>0.995</v>
      </c>
      <c r="F291" s="39" t="n">
        <v>86</v>
      </c>
      <c r="G291" s="39" t="n">
        <v>86</v>
      </c>
      <c r="H291" s="74">
        <f>F291/G291</f>
        <v/>
      </c>
      <c r="I291" s="39">
        <f>IF(H291&gt;=E291,"Yes","No")</f>
        <v/>
      </c>
    </row>
    <row r="292" ht="15" customHeight="1" s="34">
      <c r="A292" s="73" t="n">
        <v>46235</v>
      </c>
      <c r="B292" s="39" t="inlineStr">
        <is>
          <t>Logwin - Sikla</t>
        </is>
      </c>
      <c r="C292" s="39" t="inlineStr">
        <is>
          <t>Order Accuracy by Unit</t>
        </is>
      </c>
      <c r="E292" s="74" t="n">
        <v>0.995</v>
      </c>
      <c r="F292" s="39" t="n">
        <v>5971</v>
      </c>
      <c r="G292" s="39" t="n">
        <v>5971</v>
      </c>
      <c r="H292" s="74">
        <f>F292/G292</f>
        <v/>
      </c>
      <c r="I292" s="39">
        <f>IF(H292&gt;=E292,"Yes","No")</f>
        <v/>
      </c>
    </row>
    <row r="293" ht="15" customHeight="1" s="34">
      <c r="A293" s="73" t="n">
        <v>46235</v>
      </c>
      <c r="B293" s="39" t="inlineStr">
        <is>
          <t>Made Group NZ</t>
        </is>
      </c>
      <c r="C293" s="39" t="inlineStr">
        <is>
          <t>Order Accuracy by Unit</t>
        </is>
      </c>
      <c r="E293" s="74" t="n">
        <v>0.995</v>
      </c>
      <c r="F293" s="39" t="n">
        <v>82361</v>
      </c>
      <c r="G293" s="39" t="n">
        <v>82361</v>
      </c>
      <c r="H293" s="74">
        <f>F293/G293</f>
        <v/>
      </c>
      <c r="I293" s="39">
        <f>IF(H293&gt;=E293,"Yes","No")</f>
        <v/>
      </c>
    </row>
    <row r="294" ht="15" customHeight="1" s="34">
      <c r="A294" s="73" t="n">
        <v>46235</v>
      </c>
      <c r="B294" s="39" t="inlineStr">
        <is>
          <t>Madigan Freight Services</t>
        </is>
      </c>
      <c r="C294" s="39" t="inlineStr">
        <is>
          <t>Order Accuracy by Unit</t>
        </is>
      </c>
      <c r="E294" s="74" t="n">
        <v>0.995</v>
      </c>
      <c r="F294" s="39" t="n">
        <v>120</v>
      </c>
      <c r="G294" s="39" t="n">
        <v>120</v>
      </c>
      <c r="H294" s="74">
        <f>F294/G294</f>
        <v/>
      </c>
      <c r="I294" s="39">
        <f>IF(H294&gt;=E294,"Yes","No")</f>
        <v/>
      </c>
    </row>
    <row r="295" ht="15" customHeight="1" s="34">
      <c r="A295" s="73" t="n">
        <v>46235</v>
      </c>
      <c r="B295" s="39" t="inlineStr">
        <is>
          <t>May Eleven NZ</t>
        </is>
      </c>
      <c r="C295" s="39" t="inlineStr">
        <is>
          <t>Order Accuracy by Unit</t>
        </is>
      </c>
      <c r="E295" s="74" t="n">
        <v>0.995</v>
      </c>
      <c r="F295" s="39" t="n">
        <v>500</v>
      </c>
      <c r="G295" s="39" t="n">
        <v>500</v>
      </c>
      <c r="H295" s="74">
        <f>F295/G295</f>
        <v/>
      </c>
      <c r="I295" s="39">
        <f>IF(H295&gt;=E295,"Yes","No")</f>
        <v/>
      </c>
    </row>
    <row r="296">
      <c r="A296" s="73" t="n">
        <v>46235</v>
      </c>
      <c r="B296" s="39" t="inlineStr">
        <is>
          <t>Method Global</t>
        </is>
      </c>
      <c r="C296" s="39" t="inlineStr">
        <is>
          <t>Order Accuracy by Unit</t>
        </is>
      </c>
      <c r="E296" s="74" t="n">
        <v>0.995</v>
      </c>
      <c r="F296" s="39" t="n">
        <v>4</v>
      </c>
      <c r="G296" s="39" t="n">
        <v>4</v>
      </c>
      <c r="H296" s="74">
        <f>F296/G296</f>
        <v/>
      </c>
      <c r="I296" s="39">
        <f>IF(H296&gt;=E296,"Yes","No")</f>
        <v/>
      </c>
    </row>
    <row r="297">
      <c r="A297" s="73" t="n">
        <v>46235</v>
      </c>
      <c r="B297" s="39" t="inlineStr">
        <is>
          <t>Oceanbridge</t>
        </is>
      </c>
      <c r="C297" s="39" t="inlineStr">
        <is>
          <t>Order Accuracy by Unit</t>
        </is>
      </c>
      <c r="E297" s="74" t="n">
        <v>0.995</v>
      </c>
      <c r="F297" s="39" t="n">
        <v>1</v>
      </c>
      <c r="G297" s="39" t="n">
        <v>1</v>
      </c>
      <c r="H297" s="74">
        <f>F297/G297</f>
        <v/>
      </c>
      <c r="I297" s="39">
        <f>IF(H297&gt;=E297,"Yes","No")</f>
        <v/>
      </c>
    </row>
    <row r="298">
      <c r="A298" s="73" t="n">
        <v>46235</v>
      </c>
      <c r="B298" s="39" t="inlineStr">
        <is>
          <t>Oricom</t>
        </is>
      </c>
      <c r="C298" s="39" t="inlineStr">
        <is>
          <t>Order Accuracy by Unit</t>
        </is>
      </c>
      <c r="E298" s="74" t="n">
        <v>0.995</v>
      </c>
      <c r="F298" s="39" t="n">
        <v>368</v>
      </c>
      <c r="G298" s="39" t="n">
        <v>368</v>
      </c>
      <c r="H298" s="74">
        <f>F298/G298</f>
        <v/>
      </c>
      <c r="I298" s="39">
        <f>IF(H298&gt;=E298,"Yes","No")</f>
        <v/>
      </c>
    </row>
    <row r="299">
      <c r="A299" s="73" t="n">
        <v>46235</v>
      </c>
      <c r="B299" s="39" t="inlineStr">
        <is>
          <t>Purify Me</t>
        </is>
      </c>
      <c r="C299" s="39" t="inlineStr">
        <is>
          <t>Order Accuracy by Unit</t>
        </is>
      </c>
      <c r="E299" s="74" t="n">
        <v>0.995</v>
      </c>
      <c r="F299" s="39" t="n">
        <v>170</v>
      </c>
      <c r="G299" s="39" t="n">
        <v>170</v>
      </c>
      <c r="H299" s="74">
        <f>F299/G299</f>
        <v/>
      </c>
      <c r="I299" s="39">
        <f>IF(H299&gt;=E299,"Yes","No")</f>
        <v/>
      </c>
    </row>
    <row r="300">
      <c r="A300" s="73" t="n">
        <v>46235</v>
      </c>
      <c r="B300" s="39" t="inlineStr">
        <is>
          <t>Salt Shark</t>
        </is>
      </c>
      <c r="C300" s="39" t="inlineStr">
        <is>
          <t>Order Accuracy by Unit</t>
        </is>
      </c>
      <c r="E300" s="74" t="n">
        <v>0.995</v>
      </c>
      <c r="F300" s="39" t="n">
        <v>781</v>
      </c>
      <c r="G300" s="39" t="n">
        <v>781</v>
      </c>
      <c r="H300" s="74">
        <f>F300/G300</f>
        <v/>
      </c>
      <c r="I300" s="39">
        <f>IF(H300&gt;=E300,"Yes","No")</f>
        <v/>
      </c>
    </row>
    <row r="301">
      <c r="A301" s="73" t="n">
        <v>46235</v>
      </c>
      <c r="B301" s="39" t="inlineStr">
        <is>
          <t>Samsung Batteries CP</t>
        </is>
      </c>
      <c r="C301" s="39" t="inlineStr">
        <is>
          <t>Order Accuracy by Unit</t>
        </is>
      </c>
      <c r="E301" s="74" t="n">
        <v>0.995</v>
      </c>
      <c r="F301" s="39" t="n">
        <v>1</v>
      </c>
      <c r="G301" s="39" t="n">
        <v>1</v>
      </c>
      <c r="H301" s="74">
        <f>F301/G301</f>
        <v/>
      </c>
      <c r="I301" s="39">
        <f>IF(H301&gt;=E301,"Yes","No")</f>
        <v/>
      </c>
    </row>
    <row r="302">
      <c r="A302" s="73" t="n">
        <v>46235</v>
      </c>
      <c r="B302" s="39" t="inlineStr">
        <is>
          <t>Simply Clean</t>
        </is>
      </c>
      <c r="C302" s="39" t="inlineStr">
        <is>
          <t>Order Accuracy by Unit</t>
        </is>
      </c>
      <c r="E302" s="74" t="n">
        <v>0.995</v>
      </c>
      <c r="F302" s="39" t="n">
        <v>3398</v>
      </c>
      <c r="G302" s="39" t="n">
        <v>3399</v>
      </c>
      <c r="H302" s="74">
        <f>F302/G302</f>
        <v/>
      </c>
      <c r="I302" s="39">
        <f>IF(H302&gt;=E302,"Yes","No")</f>
        <v/>
      </c>
    </row>
    <row r="303">
      <c r="A303" s="73" t="n">
        <v>46235</v>
      </c>
      <c r="B303" s="39" t="inlineStr">
        <is>
          <t>Stryx</t>
        </is>
      </c>
      <c r="C303" s="39" t="inlineStr">
        <is>
          <t>Order Accuracy by Unit</t>
        </is>
      </c>
      <c r="E303" s="74" t="n">
        <v>0.995</v>
      </c>
      <c r="F303" s="39" t="n">
        <v>35</v>
      </c>
      <c r="G303" s="39" t="n">
        <v>35</v>
      </c>
      <c r="H303" s="74">
        <f>F303/G303</f>
        <v/>
      </c>
      <c r="I303" s="39">
        <f>IF(H303&gt;=E303,"Yes","No")</f>
        <v/>
      </c>
    </row>
    <row r="304">
      <c r="A304" s="73" t="n">
        <v>46235</v>
      </c>
      <c r="B304" s="39" t="inlineStr">
        <is>
          <t>Tesx</t>
        </is>
      </c>
      <c r="C304" s="39" t="inlineStr">
        <is>
          <t>Order Accuracy by Unit</t>
        </is>
      </c>
      <c r="E304" s="74" t="n">
        <v>0.995</v>
      </c>
      <c r="F304" s="39" t="n">
        <v>1</v>
      </c>
      <c r="G304" s="39" t="n">
        <v>1</v>
      </c>
      <c r="H304" s="74">
        <f>F304/G304</f>
        <v/>
      </c>
      <c r="I304" s="39">
        <f>IF(H304&gt;=E304,"Yes","No")</f>
        <v/>
      </c>
    </row>
    <row r="305">
      <c r="A305" s="73" t="n">
        <v>46235</v>
      </c>
      <c r="B305" s="39" t="inlineStr">
        <is>
          <t>Vixxen</t>
        </is>
      </c>
      <c r="C305" s="39" t="inlineStr">
        <is>
          <t>Order Accuracy by Unit</t>
        </is>
      </c>
      <c r="E305" s="74" t="n">
        <v>0.995</v>
      </c>
      <c r="F305" s="39" t="n">
        <v>5710</v>
      </c>
      <c r="G305" s="39" t="n">
        <v>5721</v>
      </c>
      <c r="H305" s="74">
        <f>F305/G305</f>
        <v/>
      </c>
      <c r="I305" s="39">
        <f>IF(H305&gt;=E305,"Yes","No")</f>
        <v/>
      </c>
    </row>
  </sheetData>
  <autoFilter ref="A3:J295"/>
  <mergeCells count="1">
    <mergeCell ref="A1:I1"/>
  </mergeCells>
  <conditionalFormatting sqref="I4:I295">
    <cfRule type="cellIs" rank="0" priority="2" equalAverage="0" operator="equal" aboveAverage="0" dxfId="0" text="" percent="0" bottom="0">
      <formula>"Yes"</formula>
    </cfRule>
    <cfRule type="cellIs" rank="0" priority="3" equalAverage="0" operator="equal" aboveAverage="0" dxfId="1" text="" percent="0" bottom="0">
      <formula>"No"</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15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8" customWidth="1" style="39" min="1" max="2"/>
    <col width="20" customWidth="1" style="34" min="2" max="2"/>
    <col width="16" customWidth="1" style="39" min="3" max="3"/>
    <col width="16" customWidth="1" style="39" min="4" max="5"/>
    <col width="50" customWidth="1" style="39" min="6" max="7"/>
  </cols>
  <sheetData>
    <row r="1" ht="17.25" customHeight="1" s="34">
      <c r="A1" s="63" t="inlineStr">
        <is>
          <t>Exceptions</t>
        </is>
      </c>
    </row>
    <row r="2"/>
    <row r="3" ht="15" customHeight="1" s="34">
      <c r="A3" s="64" t="inlineStr">
        <is>
          <t>Customer Cutoff Time Overrides</t>
        </is>
      </c>
    </row>
    <row r="4" ht="15" customHeight="1" s="34">
      <c r="A4" s="65" t="inlineStr">
        <is>
          <t>Customer</t>
        </is>
      </c>
      <c r="B4" s="65" t="inlineStr">
        <is>
          <t>Cutoff Time (HH:MM, 24hr)</t>
        </is>
      </c>
      <c r="C4" s="65" t="inlineStr">
        <is>
          <t>Deadline Rule</t>
        </is>
      </c>
      <c r="D4" s="65" t="inlineStr">
        <is>
          <t>Effective From</t>
        </is>
      </c>
      <c r="E4" s="65" t="inlineStr">
        <is>
          <t>Effective To</t>
        </is>
      </c>
      <c r="F4" s="65" t="inlineStr">
        <is>
          <t>Reason</t>
        </is>
      </c>
      <c r="G4" s="39" t="inlineStr">
        <is>
          <t>After-cutoff extra business days</t>
        </is>
      </c>
      <c r="H4" s="39" t="inlineStr">
        <is>
          <t>Use packed timestamp (Y/N)</t>
        </is>
      </c>
    </row>
    <row r="5" ht="34.5" customHeight="1" s="34">
      <c r="A5" s="39" t="inlineStr">
        <is>
          <t>Logwin - Sikla</t>
        </is>
      </c>
      <c r="B5" s="39" t="inlineStr">
        <is>
          <t>12:00</t>
        </is>
      </c>
      <c r="C5" s="39" t="inlineStr">
        <is>
          <t>Next business day (EOD)</t>
        </is>
      </c>
      <c r="D5" s="62" t="n">
        <v>46188</v>
      </c>
      <c r="F5" s="54" t="inlineStr">
        <is>
          <t>Customer-requested: orders received before 12pm NZ time may dispatch any time up to end of next business day</t>
        </is>
      </c>
      <c r="G5" s="39" t="n">
        <v>1</v>
      </c>
      <c r="H5" s="39" t="inlineStr">
        <is>
          <t>Y</t>
        </is>
      </c>
    </row>
    <row r="6">
      <c r="A6" s="39" t="inlineStr">
        <is>
          <t>Coromandel Mountains Company Limited</t>
        </is>
      </c>
      <c r="B6" s="39" t="inlineStr">
        <is>
          <t>14:00</t>
        </is>
      </c>
      <c r="C6" s="39" t="inlineStr">
        <is>
          <t>Same day</t>
        </is>
      </c>
      <c r="D6" s="72" t="n">
        <v>46204</v>
      </c>
      <c r="F6" s="39" t="inlineStr">
        <is>
          <t>Invoice-ready-to-print workflow: dispatched timestamp is set on manual print run, not at actual dispatch. Use packed timestamp to reflect true fulfilment time.</t>
        </is>
      </c>
      <c r="G6" s="39" t="n">
        <v>0</v>
      </c>
      <c r="H6" s="39" t="inlineStr">
        <is>
          <t>Y</t>
        </is>
      </c>
    </row>
    <row r="7">
      <c r="A7" s="39" t="inlineStr">
        <is>
          <t>Jock Freight - SECA</t>
        </is>
      </c>
      <c r="B7" s="39" t="inlineStr">
        <is>
          <t>14:00</t>
        </is>
      </c>
      <c r="C7" s="39" t="inlineStr">
        <is>
          <t>Same day</t>
        </is>
      </c>
      <c r="D7" s="72" t="n">
        <v>46204</v>
      </c>
      <c r="F7" s="39" t="inlineStr">
        <is>
          <t>Invoice-ready-to-print workflow: dispatched timestamp is set on manual print run, not at actual dispatch. Use packed timestamp to reflect true fulfilment time.</t>
        </is>
      </c>
      <c r="G7" s="39" t="n">
        <v>0</v>
      </c>
      <c r="H7" s="39" t="inlineStr">
        <is>
          <t>Y</t>
        </is>
      </c>
    </row>
    <row r="8">
      <c r="A8" s="39" t="inlineStr">
        <is>
          <t>Simply Clean</t>
        </is>
      </c>
      <c r="B8" s="39" t="inlineStr">
        <is>
          <t>00:00</t>
        </is>
      </c>
      <c r="C8" s="39" t="inlineStr">
        <is>
          <t>Same day</t>
        </is>
      </c>
      <c r="D8" s="75" t="n">
        <v>46237</v>
      </c>
      <c r="E8" s="75" t="n">
        <v>46243</v>
      </c>
      <c r="F8" s="39" t="inlineStr">
        <is>
          <t>Customer-requested: extra 2 business days to process all orders received 3-9 Aug 2026 (operational delay this week). Cutoff time set to 00:00 so every order this week is treated as "after cutoff", giving the standard 1 business day plus 2 extra = 3 business days from creation to dispatch deadline, regardless of what time of day the order was created.</t>
        </is>
      </c>
      <c r="G8" s="39" t="n">
        <v>2</v>
      </c>
    </row>
    <row r="9">
      <c r="A9" s="39" t="inlineStr">
        <is>
          <t>Salt Shark</t>
        </is>
      </c>
      <c r="B9" s="39" t="inlineStr">
        <is>
          <t>00:00</t>
        </is>
      </c>
      <c r="C9" s="39" t="inlineStr">
        <is>
          <t>Same day</t>
        </is>
      </c>
      <c r="D9" s="75" t="n">
        <v>46262</v>
      </c>
      <c r="E9" s="75" t="n">
        <v>46264</v>
      </c>
      <c r="F9" s="39" t="inlineStr">
        <is>
          <t>Customer-requested: extra 1 business day to process orders received over the 28-30 Aug 2026 weekend (high order volume; majority of these orders being deleted, remaining ones need extra processing time). Cutoff time set to 00:00 so every order in this window is treated as "after cutoff", giving the standard 1 business day plus 1 extra = 2 business days from creation to dispatch deadline, regardless of what time of day the order was created.</t>
        </is>
      </c>
      <c r="G9" s="39" t="n">
        <v>1</v>
      </c>
    </row>
    <row r="10"/>
    <row r="11"/>
    <row r="12"/>
    <row r="13"/>
    <row r="14"/>
    <row r="15" ht="15" customHeight="1" s="34">
      <c r="A15" s="66" t="inlineStr">
        <is>
          <t>Deadline Rule must be either "Same day" or "Next business day (EOD)". Leave Effective To blank for an open-ended override. Overrides only make the deadline MORE lenient than the standard rule, never stricter.</t>
        </is>
      </c>
    </row>
    <row r="16"/>
    <row r="17" ht="15" customHeight="1" s="34">
      <c r="A17" s="64" t="inlineStr">
        <is>
          <t>Order-Level Exceptions</t>
        </is>
      </c>
    </row>
    <row r="18" ht="15" customHeight="1" s="34">
      <c r="A18" s="65" t="inlineStr">
        <is>
          <t>Date Logged</t>
        </is>
      </c>
      <c r="B18" s="65" t="inlineStr">
        <is>
          <t>Customer</t>
        </is>
      </c>
      <c r="C18" s="65" t="inlineStr">
        <is>
          <t>Order Reference</t>
        </is>
      </c>
      <c r="D18" s="65" t="inlineStr">
        <is>
          <t>Month (YYYY-MM)</t>
        </is>
      </c>
      <c r="E18" s="65" t="inlineStr">
        <is>
          <t>KPI</t>
        </is>
      </c>
      <c r="F18" s="65" t="inlineStr">
        <is>
          <t>Action</t>
        </is>
      </c>
      <c r="G18" s="65" t="inlineStr">
        <is>
          <t>Reason</t>
        </is>
      </c>
      <c r="H18" s="76" t="inlineStr">
        <is>
          <t>Date From</t>
        </is>
      </c>
      <c r="I18" s="76" t="inlineStr">
        <is>
          <t>Date To</t>
        </is>
      </c>
    </row>
    <row r="19">
      <c r="A19" s="72" t="n">
        <v>46203</v>
      </c>
      <c r="B19" s="39" t="inlineStr">
        <is>
          <t>Cotton Soft  - Christchurch</t>
        </is>
      </c>
      <c r="C19" s="39" t="inlineStr">
        <is>
          <t>147</t>
        </is>
      </c>
      <c r="D19" s="39" t="inlineStr">
        <is>
          <t>2026-06</t>
        </is>
      </c>
      <c r="E19" s="39" t="inlineStr">
        <is>
          <t>Dock to Stock</t>
        </is>
      </c>
      <c r="F19" s="39" t="inlineStr">
        <is>
          <t>Count as met</t>
        </is>
      </c>
      <c r="G19" s="39" t="inlineStr">
        <is>
          <t>Arrival and allocated dates manually corrected to 18-Jun in CartonCloud UI. API does not expose updated dates; counting as met per operations review.</t>
        </is>
      </c>
    </row>
    <row r="20">
      <c r="A20" s="72" t="n">
        <v>46203</v>
      </c>
      <c r="B20" s="39" t="inlineStr">
        <is>
          <t>Cotton Soft  - Christchurch</t>
        </is>
      </c>
      <c r="C20" s="39" t="inlineStr">
        <is>
          <t>148</t>
        </is>
      </c>
      <c r="D20" s="39" t="inlineStr">
        <is>
          <t>2026-06</t>
        </is>
      </c>
      <c r="E20" s="39" t="inlineStr">
        <is>
          <t>Dock to Stock</t>
        </is>
      </c>
      <c r="F20" s="39" t="inlineStr">
        <is>
          <t>Count as met</t>
        </is>
      </c>
      <c r="G20" s="39" t="inlineStr">
        <is>
          <t>Arrival and allocated dates manually corrected to 18-Jun in CartonCloud UI. API does not expose updated dates; counting as met per operations review.</t>
        </is>
      </c>
    </row>
    <row r="21">
      <c r="A21" s="72" t="n">
        <v>46205</v>
      </c>
      <c r="B21" s="39" t="inlineStr">
        <is>
          <t>Salt Shark</t>
        </is>
      </c>
      <c r="C21" s="39" t="inlineStr">
        <is>
          <t>1713</t>
        </is>
      </c>
      <c r="D21" s="39" t="inlineStr">
        <is>
          <t>2026-07</t>
        </is>
      </c>
      <c r="E21" s="39" t="inlineStr">
        <is>
          <t>Order Cut Off</t>
        </is>
      </c>
      <c r="F21" s="39" t="inlineStr">
        <is>
          <t>Exclude from calculation</t>
        </is>
      </c>
      <c r="G21" s="39" t="inlineStr">
        <is>
          <t>Customer requested hold on orders 1-2 Jul 2026</t>
        </is>
      </c>
    </row>
    <row r="22">
      <c r="A22" s="72" t="n">
        <v>46205</v>
      </c>
      <c r="B22" s="39" t="inlineStr">
        <is>
          <t>Salt Shark</t>
        </is>
      </c>
      <c r="C22" s="39" t="inlineStr">
        <is>
          <t>1715</t>
        </is>
      </c>
      <c r="D22" s="39" t="inlineStr">
        <is>
          <t>2026-07</t>
        </is>
      </c>
      <c r="E22" s="39" t="inlineStr">
        <is>
          <t>Order Cut Off</t>
        </is>
      </c>
      <c r="F22" s="39" t="inlineStr">
        <is>
          <t>Exclude from calculation</t>
        </is>
      </c>
      <c r="G22" s="39" t="inlineStr">
        <is>
          <t>Customer requested hold on orders 1-2 Jul 2026</t>
        </is>
      </c>
    </row>
    <row r="23">
      <c r="A23" s="72" t="n">
        <v>46205</v>
      </c>
      <c r="B23" s="39" t="inlineStr">
        <is>
          <t>Salt Shark</t>
        </is>
      </c>
      <c r="C23" s="39" t="inlineStr">
        <is>
          <t>1716</t>
        </is>
      </c>
      <c r="D23" s="39" t="inlineStr">
        <is>
          <t>2026-07</t>
        </is>
      </c>
      <c r="E23" s="39" t="inlineStr">
        <is>
          <t>Order Cut Off</t>
        </is>
      </c>
      <c r="F23" s="39" t="inlineStr">
        <is>
          <t>Exclude from calculation</t>
        </is>
      </c>
      <c r="G23" s="39" t="inlineStr">
        <is>
          <t>Customer requested hold on orders 1-2 Jul 2026</t>
        </is>
      </c>
    </row>
    <row r="24">
      <c r="A24" s="72" t="n">
        <v>46205</v>
      </c>
      <c r="B24" s="39" t="inlineStr">
        <is>
          <t>Salt Shark</t>
        </is>
      </c>
      <c r="C24" s="39" t="inlineStr">
        <is>
          <t>1724</t>
        </is>
      </c>
      <c r="D24" s="39" t="inlineStr">
        <is>
          <t>2026-07</t>
        </is>
      </c>
      <c r="E24" s="39" t="inlineStr">
        <is>
          <t>Order Cut Off</t>
        </is>
      </c>
      <c r="F24" s="39" t="inlineStr">
        <is>
          <t>Exclude from calculation</t>
        </is>
      </c>
      <c r="G24" s="39" t="inlineStr">
        <is>
          <t>Customer requested hold on orders 1-2 Jul 2026</t>
        </is>
      </c>
    </row>
    <row r="25">
      <c r="A25" s="72" t="n">
        <v>46209</v>
      </c>
      <c r="B25" s="39" t="inlineStr">
        <is>
          <t>Made Group NZ</t>
        </is>
      </c>
      <c r="C25" s="39" t="inlineStr">
        <is>
          <t>121</t>
        </is>
      </c>
      <c r="D25" s="39" t="inlineStr">
        <is>
          <t>2026-06</t>
        </is>
      </c>
      <c r="E25" s="39" t="inlineStr">
        <is>
          <t>Dock to Stock</t>
        </is>
      </c>
      <c r="F25" s="39" t="inlineStr">
        <is>
          <t>Count as met</t>
        </is>
      </c>
      <c r="G25" s="39" t="inlineStr">
        <is>
          <t>Arrival dates corrected in CartonCloud UI — API does not reflect update. All POs confirmed as meeting 48hr target per operations review.</t>
        </is>
      </c>
    </row>
    <row r="26">
      <c r="A26" s="72" t="n">
        <v>46209</v>
      </c>
      <c r="B26" s="39" t="inlineStr">
        <is>
          <t>Made Group NZ</t>
        </is>
      </c>
      <c r="C26" s="39" t="inlineStr">
        <is>
          <t>122</t>
        </is>
      </c>
      <c r="D26" s="39" t="inlineStr">
        <is>
          <t>2026-06</t>
        </is>
      </c>
      <c r="E26" s="39" t="inlineStr">
        <is>
          <t>Dock to Stock</t>
        </is>
      </c>
      <c r="F26" s="39" t="inlineStr">
        <is>
          <t>Count as met</t>
        </is>
      </c>
      <c r="G26" s="39" t="inlineStr">
        <is>
          <t>Arrival dates corrected in CartonCloud UI — API does not reflect update. All POs confirmed as meeting 48hr target per operations review.</t>
        </is>
      </c>
    </row>
    <row r="27">
      <c r="A27" s="72" t="n">
        <v>46209</v>
      </c>
      <c r="B27" s="39" t="inlineStr">
        <is>
          <t>Made Group NZ</t>
        </is>
      </c>
      <c r="C27" s="39" t="inlineStr">
        <is>
          <t>123</t>
        </is>
      </c>
      <c r="D27" s="39" t="inlineStr">
        <is>
          <t>2026-06</t>
        </is>
      </c>
      <c r="E27" s="39" t="inlineStr">
        <is>
          <t>Dock to Stock</t>
        </is>
      </c>
      <c r="F27" s="39" t="inlineStr">
        <is>
          <t>Count as met</t>
        </is>
      </c>
      <c r="G27" s="39" t="inlineStr">
        <is>
          <t>Arrival dates corrected in CartonCloud UI — API does not reflect update. All POs confirmed as meeting 48hr target per operations review.</t>
        </is>
      </c>
    </row>
    <row r="28">
      <c r="A28" s="72" t="n">
        <v>46209</v>
      </c>
      <c r="B28" s="39" t="inlineStr">
        <is>
          <t>Made Group NZ</t>
        </is>
      </c>
      <c r="C28" s="39" t="inlineStr">
        <is>
          <t>124</t>
        </is>
      </c>
      <c r="D28" s="39" t="inlineStr">
        <is>
          <t>2026-06</t>
        </is>
      </c>
      <c r="E28" s="39" t="inlineStr">
        <is>
          <t>Dock to Stock</t>
        </is>
      </c>
      <c r="F28" s="39" t="inlineStr">
        <is>
          <t>Count as met</t>
        </is>
      </c>
      <c r="G28" s="39" t="inlineStr">
        <is>
          <t>Arrival dates corrected in CartonCloud UI — API does not reflect update. All POs confirmed as meeting 48hr target per operations review.</t>
        </is>
      </c>
    </row>
    <row r="29" ht="15" customHeight="1" s="34">
      <c r="A29" s="72" t="n">
        <v>46209</v>
      </c>
      <c r="B29" s="39" t="inlineStr">
        <is>
          <t>Made Group NZ</t>
        </is>
      </c>
      <c r="C29" s="39" t="inlineStr">
        <is>
          <t>125</t>
        </is>
      </c>
      <c r="D29" s="39" t="inlineStr">
        <is>
          <t>2026-06</t>
        </is>
      </c>
      <c r="E29" s="39" t="inlineStr">
        <is>
          <t>Dock to Stock</t>
        </is>
      </c>
      <c r="F29" s="39" t="inlineStr">
        <is>
          <t>Count as met</t>
        </is>
      </c>
      <c r="G29" s="39" t="inlineStr">
        <is>
          <t>Arrival dates corrected in CartonCloud UI — API does not reflect update. All POs confirmed as meeting 48hr target per operations review.</t>
        </is>
      </c>
    </row>
    <row r="30">
      <c r="A30" s="72" t="n">
        <v>46209</v>
      </c>
      <c r="B30" s="39" t="inlineStr">
        <is>
          <t>Made Group NZ</t>
        </is>
      </c>
      <c r="C30" s="39" t="inlineStr">
        <is>
          <t>126</t>
        </is>
      </c>
      <c r="D30" s="39" t="inlineStr">
        <is>
          <t>2026-06</t>
        </is>
      </c>
      <c r="E30" s="39" t="inlineStr">
        <is>
          <t>Dock to Stock</t>
        </is>
      </c>
      <c r="F30" s="39" t="inlineStr">
        <is>
          <t>Count as met</t>
        </is>
      </c>
      <c r="G30" s="39" t="inlineStr">
        <is>
          <t>Arrival dates corrected in CartonCloud UI — API does not reflect update. All POs confirmed as meeting 48hr target per operations review.</t>
        </is>
      </c>
    </row>
    <row r="31" ht="15" customHeight="1" s="34">
      <c r="A31" s="72" t="n">
        <v>46209</v>
      </c>
      <c r="B31" s="39" t="inlineStr">
        <is>
          <t>Made Group NZ</t>
        </is>
      </c>
      <c r="C31" s="39" t="inlineStr">
        <is>
          <t>127</t>
        </is>
      </c>
      <c r="D31" s="39" t="inlineStr">
        <is>
          <t>2026-06</t>
        </is>
      </c>
      <c r="E31" s="39" t="inlineStr">
        <is>
          <t>Dock to Stock</t>
        </is>
      </c>
      <c r="F31" s="39" t="inlineStr">
        <is>
          <t>Count as met</t>
        </is>
      </c>
      <c r="G31" s="39" t="inlineStr">
        <is>
          <t>Arrival dates corrected in CartonCloud UI — API does not reflect update. All POs confirmed as meeting 48hr target per operations review.</t>
        </is>
      </c>
    </row>
    <row r="32" ht="15" customHeight="1" s="34">
      <c r="A32" s="72" t="n">
        <v>46209</v>
      </c>
      <c r="B32" s="39" t="inlineStr">
        <is>
          <t>Made Group NZ</t>
        </is>
      </c>
      <c r="C32" s="39" t="inlineStr">
        <is>
          <t>128</t>
        </is>
      </c>
      <c r="D32" s="39" t="inlineStr">
        <is>
          <t>2026-06</t>
        </is>
      </c>
      <c r="E32" s="39" t="inlineStr">
        <is>
          <t>Dock to Stock</t>
        </is>
      </c>
      <c r="F32" s="39" t="inlineStr">
        <is>
          <t>Count as met</t>
        </is>
      </c>
      <c r="G32" s="39" t="inlineStr">
        <is>
          <t>Arrival dates corrected in CartonCloud UI — API does not reflect update. All POs confirmed as meeting 48hr target per operations review.</t>
        </is>
      </c>
    </row>
    <row r="33" ht="34.5" customHeight="1" s="34">
      <c r="A33" s="72" t="n">
        <v>46209</v>
      </c>
      <c r="B33" s="39" t="inlineStr">
        <is>
          <t>Made Group NZ</t>
        </is>
      </c>
      <c r="C33" s="39" t="inlineStr">
        <is>
          <t>129</t>
        </is>
      </c>
      <c r="D33" s="39" t="inlineStr">
        <is>
          <t>2026-06</t>
        </is>
      </c>
      <c r="E33" s="39" t="inlineStr">
        <is>
          <t>Dock to Stock</t>
        </is>
      </c>
      <c r="F33" s="39" t="inlineStr">
        <is>
          <t>Count as met</t>
        </is>
      </c>
      <c r="G33" s="39" t="inlineStr">
        <is>
          <t>Arrival dates corrected in CartonCloud UI — API does not reflect update. All POs confirmed as meeting 48hr target per operations review.</t>
        </is>
      </c>
    </row>
    <row r="34">
      <c r="A34" s="72" t="n">
        <v>46209</v>
      </c>
      <c r="B34" s="39" t="inlineStr">
        <is>
          <t>Made Group NZ</t>
        </is>
      </c>
      <c r="C34" s="39" t="inlineStr">
        <is>
          <t>130</t>
        </is>
      </c>
      <c r="D34" s="39" t="inlineStr">
        <is>
          <t>2026-06</t>
        </is>
      </c>
      <c r="E34" s="39" t="inlineStr">
        <is>
          <t>Dock to Stock</t>
        </is>
      </c>
      <c r="F34" s="39" t="inlineStr">
        <is>
          <t>Count as met</t>
        </is>
      </c>
      <c r="G34" s="39" t="inlineStr">
        <is>
          <t>Arrival dates corrected in CartonCloud UI — API does not reflect update. All POs confirmed as meeting 48hr target per operations review.</t>
        </is>
      </c>
    </row>
    <row r="35">
      <c r="A35" s="72" t="n">
        <v>46209</v>
      </c>
      <c r="B35" s="39" t="inlineStr">
        <is>
          <t>Made Group NZ</t>
        </is>
      </c>
      <c r="C35" s="39" t="inlineStr">
        <is>
          <t>131</t>
        </is>
      </c>
      <c r="D35" s="39" t="inlineStr">
        <is>
          <t>2026-06</t>
        </is>
      </c>
      <c r="E35" s="39" t="inlineStr">
        <is>
          <t>Dock to Stock</t>
        </is>
      </c>
      <c r="F35" s="39" t="inlineStr">
        <is>
          <t>Count as met</t>
        </is>
      </c>
      <c r="G35" s="39" t="inlineStr">
        <is>
          <t>Arrival dates corrected in CartonCloud UI — API does not reflect update. All POs confirmed as meeting 48hr target per operations review.</t>
        </is>
      </c>
    </row>
    <row r="36"/>
    <row r="37"/>
    <row r="38"/>
    <row r="39"/>
    <row r="40">
      <c r="A40" s="72" t="n">
        <v>46196</v>
      </c>
    </row>
    <row r="41">
      <c r="A41" s="72" t="n">
        <v>46196</v>
      </c>
    </row>
    <row r="42">
      <c r="A42" s="72" t="n">
        <v>46196</v>
      </c>
    </row>
    <row r="43" ht="21.75" customHeight="1" s="34">
      <c r="A43" s="72" t="n">
        <v>46196</v>
      </c>
    </row>
    <row r="44">
      <c r="A44" s="72" t="n">
        <v>46196</v>
      </c>
    </row>
    <row r="45">
      <c r="A45" s="72" t="n">
        <v>46196</v>
      </c>
    </row>
    <row r="46" ht="16" customHeight="1" s="34">
      <c r="A46" s="72" t="n">
        <v>46196</v>
      </c>
    </row>
    <row r="47" ht="14" customHeight="1" s="34">
      <c r="A47" s="72" t="n">
        <v>46196</v>
      </c>
    </row>
    <row r="48" ht="28" customHeight="1" s="34">
      <c r="A48" s="72" t="n">
        <v>46196</v>
      </c>
    </row>
    <row r="49" ht="28" customHeight="1" s="34">
      <c r="A49" s="72" t="n">
        <v>46196</v>
      </c>
    </row>
    <row r="50" ht="28" customHeight="1" s="34">
      <c r="A50" s="72" t="n">
        <v>46196</v>
      </c>
    </row>
    <row r="51" ht="28" customHeight="1" s="34">
      <c r="A51" s="72" t="n">
        <v>46196</v>
      </c>
    </row>
    <row r="52">
      <c r="A52" s="72" t="n">
        <v>46196</v>
      </c>
    </row>
    <row r="53" ht="56" customHeight="1" s="34">
      <c r="A53" s="72" t="n">
        <v>46196</v>
      </c>
    </row>
    <row r="54">
      <c r="A54" s="72" t="n">
        <v>46196</v>
      </c>
    </row>
    <row r="55">
      <c r="A55" s="72" t="n">
        <v>46196</v>
      </c>
    </row>
    <row r="56" ht="16" customHeight="1" s="34">
      <c r="A56" s="72" t="n">
        <v>46196</v>
      </c>
    </row>
    <row r="57" ht="14" customHeight="1" s="34">
      <c r="A57" s="72" t="n">
        <v>46196</v>
      </c>
    </row>
    <row r="58" ht="28" customHeight="1" s="34">
      <c r="A58" s="72" t="n">
        <v>46196</v>
      </c>
    </row>
    <row r="59">
      <c r="A59" s="72" t="n">
        <v>46196</v>
      </c>
    </row>
    <row r="60" ht="42" customHeight="1" s="34">
      <c r="A60" s="72" t="n">
        <v>46196</v>
      </c>
    </row>
    <row r="61">
      <c r="A61" s="72" t="n">
        <v>46196</v>
      </c>
      <c r="F61" s="39" t="inlineStr">
        <is>
          <t>Count as met</t>
        </is>
      </c>
      <c r="G61" s="39" t="inlineStr">
        <is>
          <t>DC recipient exception - pre-arranged booking, excluded from avg delivery days</t>
        </is>
      </c>
    </row>
    <row r="62">
      <c r="A62" s="72" t="n">
        <v>46196</v>
      </c>
      <c r="F62" s="39" t="inlineStr">
        <is>
          <t>Count as met</t>
        </is>
      </c>
      <c r="G62" s="39" t="inlineStr">
        <is>
          <t>DC recipient exception - pre-arranged booking, excluded from avg delivery days</t>
        </is>
      </c>
    </row>
    <row r="63">
      <c r="A63" s="72" t="n">
        <v>46196</v>
      </c>
    </row>
    <row r="64">
      <c r="A64" s="72" t="n">
        <v>46196</v>
      </c>
    </row>
    <row r="65">
      <c r="A65" s="72" t="n">
        <v>46199</v>
      </c>
      <c r="F65" s="39" t="inlineStr">
        <is>
          <t>Count as met</t>
        </is>
      </c>
      <c r="G65" s="39" t="inlineStr">
        <is>
          <t>DC recipient exception - pre-arranged booking, excluded from avg delivery days</t>
        </is>
      </c>
    </row>
    <row r="66">
      <c r="A66" s="72" t="n">
        <v>46199</v>
      </c>
      <c r="B66" s="39" t="inlineStr">
        <is>
          <t>Oricom</t>
        </is>
      </c>
      <c r="C66" s="39" t="inlineStr">
        <is>
          <t>4521431609</t>
        </is>
      </c>
      <c r="D66" s="39" t="inlineStr">
        <is>
          <t>2026-03</t>
        </is>
      </c>
      <c r="E66" s="39" t="inlineStr">
        <is>
          <t>Freight DIFOT</t>
        </is>
      </c>
      <c r="F66" s="39" t="inlineStr">
        <is>
          <t>Count as met</t>
        </is>
      </c>
      <c r="G66" s="39" t="inlineStr">
        <is>
          <t>DC recipient exception - pre-arranged booking, excluded from avg delivery days</t>
        </is>
      </c>
    </row>
    <row r="67">
      <c r="A67" s="72" t="n">
        <v>46199</v>
      </c>
      <c r="F67" s="39" t="inlineStr">
        <is>
          <t>Count as met</t>
        </is>
      </c>
      <c r="G67" s="39" t="inlineStr">
        <is>
          <t>DC recipient exception - pre-arranged booking, excluded from avg delivery days</t>
        </is>
      </c>
    </row>
    <row r="68">
      <c r="A68" s="72" t="n">
        <v>46199</v>
      </c>
      <c r="B68" s="39" t="inlineStr">
        <is>
          <t>Oricom</t>
        </is>
      </c>
      <c r="C68" s="39" t="inlineStr">
        <is>
          <t>4706693843</t>
        </is>
      </c>
      <c r="D68" s="39" t="inlineStr">
        <is>
          <t>2026-04</t>
        </is>
      </c>
      <c r="E68" s="39" t="inlineStr">
        <is>
          <t>Freight DIFOT</t>
        </is>
      </c>
      <c r="F68" s="39" t="inlineStr">
        <is>
          <t>Count as met</t>
        </is>
      </c>
      <c r="G68" s="39" t="inlineStr">
        <is>
          <t>DC recipient exception - pre-arranged booking, excluded from avg delivery days</t>
        </is>
      </c>
    </row>
    <row r="69">
      <c r="A69" s="72" t="n">
        <v>46199</v>
      </c>
      <c r="F69" s="39" t="inlineStr">
        <is>
          <t>Count as met</t>
        </is>
      </c>
      <c r="G69" s="39" t="inlineStr">
        <is>
          <t>DC recipient exception - pre-arranged booking, excluded from avg delivery days</t>
        </is>
      </c>
    </row>
    <row r="70">
      <c r="A70" s="72" t="n">
        <v>46199</v>
      </c>
      <c r="B70" s="39" t="inlineStr">
        <is>
          <t>Oricom</t>
        </is>
      </c>
      <c r="C70" s="39" t="inlineStr">
        <is>
          <t>4706697549</t>
        </is>
      </c>
      <c r="D70" s="39" t="inlineStr">
        <is>
          <t>2026-04</t>
        </is>
      </c>
      <c r="E70" s="39" t="inlineStr">
        <is>
          <t>Freight DIFOT</t>
        </is>
      </c>
      <c r="F70" s="39" t="inlineStr">
        <is>
          <t>Count as met</t>
        </is>
      </c>
      <c r="G70" s="39" t="inlineStr">
        <is>
          <t>DC recipient exception - pre-arranged booking, excluded from avg delivery days</t>
        </is>
      </c>
    </row>
    <row r="71">
      <c r="A71" s="72" t="n">
        <v>46199</v>
      </c>
      <c r="F71" s="39" t="inlineStr">
        <is>
          <t>Count as met</t>
        </is>
      </c>
      <c r="G71" s="39" t="inlineStr">
        <is>
          <t>DC recipient exception - pre-arranged booking, excluded from avg delivery days</t>
        </is>
      </c>
    </row>
    <row r="72">
      <c r="A72" s="72" t="n">
        <v>46199</v>
      </c>
      <c r="B72" s="39" t="inlineStr">
        <is>
          <t>Oricom</t>
        </is>
      </c>
      <c r="C72" s="39" t="inlineStr">
        <is>
          <t>4521499597</t>
        </is>
      </c>
      <c r="D72" s="39" t="inlineStr">
        <is>
          <t>2026-04</t>
        </is>
      </c>
      <c r="E72" s="39" t="inlineStr">
        <is>
          <t>Freight DIFOT</t>
        </is>
      </c>
      <c r="F72" s="39" t="inlineStr">
        <is>
          <t>Count as met</t>
        </is>
      </c>
      <c r="G72" s="39" t="inlineStr">
        <is>
          <t>DC recipient exception - pre-arranged booking, excluded from avg delivery days</t>
        </is>
      </c>
    </row>
    <row r="73">
      <c r="A73" s="72" t="n">
        <v>46199</v>
      </c>
      <c r="B73" s="39" t="inlineStr">
        <is>
          <t>Oricom</t>
        </is>
      </c>
      <c r="C73" s="39" t="inlineStr">
        <is>
          <t>4706734478</t>
        </is>
      </c>
      <c r="D73" s="39" t="inlineStr">
        <is>
          <t>2026-04</t>
        </is>
      </c>
      <c r="E73" s="39" t="inlineStr">
        <is>
          <t>Freight DIFOT</t>
        </is>
      </c>
      <c r="F73" s="39" t="inlineStr">
        <is>
          <t>Count as met</t>
        </is>
      </c>
      <c r="G73" s="39" t="inlineStr">
        <is>
          <t>DC recipient exception - pre-arranged booking, excluded from avg delivery days</t>
        </is>
      </c>
    </row>
    <row r="74">
      <c r="A74" s="72" t="n">
        <v>46199</v>
      </c>
      <c r="B74" s="39" t="inlineStr">
        <is>
          <t>Oricom</t>
        </is>
      </c>
      <c r="C74" s="39" t="inlineStr">
        <is>
          <t>4521521207</t>
        </is>
      </c>
      <c r="D74" s="39" t="inlineStr">
        <is>
          <t>2026-04</t>
        </is>
      </c>
      <c r="E74" s="39" t="inlineStr">
        <is>
          <t>Freight DIFOT</t>
        </is>
      </c>
      <c r="F74" s="39" t="inlineStr">
        <is>
          <t>Count as met</t>
        </is>
      </c>
      <c r="G74" s="39" t="inlineStr">
        <is>
          <t>DC recipient exception - pre-arranged booking, excluded from avg delivery days</t>
        </is>
      </c>
    </row>
    <row r="75">
      <c r="A75" s="72" t="n">
        <v>46199</v>
      </c>
      <c r="B75" s="39" t="inlineStr">
        <is>
          <t>Oricom</t>
        </is>
      </c>
      <c r="C75" s="39" t="inlineStr">
        <is>
          <t>4706724527</t>
        </is>
      </c>
      <c r="D75" s="39" t="inlineStr">
        <is>
          <t>2026-04</t>
        </is>
      </c>
      <c r="E75" s="39" t="inlineStr">
        <is>
          <t>Freight DIFOT</t>
        </is>
      </c>
      <c r="F75" s="39" t="inlineStr">
        <is>
          <t>Count as met</t>
        </is>
      </c>
      <c r="G75" s="39" t="inlineStr">
        <is>
          <t>DC recipient exception - pre-arranged booking, excluded from avg delivery days</t>
        </is>
      </c>
    </row>
    <row r="76">
      <c r="A76" s="72" t="n">
        <v>46199</v>
      </c>
      <c r="B76" s="39" t="inlineStr">
        <is>
          <t>Oricom</t>
        </is>
      </c>
      <c r="C76" s="39" t="inlineStr">
        <is>
          <t>4521542912</t>
        </is>
      </c>
      <c r="D76" s="39" t="inlineStr">
        <is>
          <t>2026-04</t>
        </is>
      </c>
      <c r="E76" s="39" t="inlineStr">
        <is>
          <t>Freight DIFOT</t>
        </is>
      </c>
      <c r="F76" s="39" t="inlineStr">
        <is>
          <t>Count as met</t>
        </is>
      </c>
      <c r="G76" s="39" t="inlineStr">
        <is>
          <t>DC recipient exception - pre-arranged booking, excluded from avg delivery days</t>
        </is>
      </c>
    </row>
    <row r="77">
      <c r="A77" s="72" t="n">
        <v>46199</v>
      </c>
      <c r="B77" s="39" t="inlineStr">
        <is>
          <t>Oricom</t>
        </is>
      </c>
      <c r="C77" s="39" t="inlineStr">
        <is>
          <t>4521559086</t>
        </is>
      </c>
      <c r="D77" s="39" t="inlineStr">
        <is>
          <t>2026-05</t>
        </is>
      </c>
      <c r="E77" s="39" t="inlineStr">
        <is>
          <t>Freight DIFOT</t>
        </is>
      </c>
      <c r="F77" s="39" t="inlineStr">
        <is>
          <t>Count as met</t>
        </is>
      </c>
      <c r="G77" s="39" t="inlineStr">
        <is>
          <t>DC recipient exception - pre-arranged booking, excluded from avg delivery days</t>
        </is>
      </c>
    </row>
    <row r="78">
      <c r="A78" s="72" t="n">
        <v>46199</v>
      </c>
      <c r="B78" s="39" t="inlineStr">
        <is>
          <t>Oricom</t>
        </is>
      </c>
      <c r="C78" s="39" t="inlineStr">
        <is>
          <t>4521583519</t>
        </is>
      </c>
      <c r="D78" s="39" t="inlineStr">
        <is>
          <t>2026-05</t>
        </is>
      </c>
      <c r="E78" s="39" t="inlineStr">
        <is>
          <t>Freight DIFOT</t>
        </is>
      </c>
      <c r="F78" s="39" t="inlineStr">
        <is>
          <t>Count as met</t>
        </is>
      </c>
      <c r="G78" s="39" t="inlineStr">
        <is>
          <t>DC recipient exception - pre-arranged booking, excluded from avg delivery days</t>
        </is>
      </c>
    </row>
    <row r="79">
      <c r="A79" s="72" t="n">
        <v>46199</v>
      </c>
      <c r="B79" s="39" t="inlineStr">
        <is>
          <t>Oricom</t>
        </is>
      </c>
      <c r="C79" s="39" t="inlineStr">
        <is>
          <t>4521604055</t>
        </is>
      </c>
      <c r="D79" s="39" t="inlineStr">
        <is>
          <t>2026-05</t>
        </is>
      </c>
      <c r="E79" s="39" t="inlineStr">
        <is>
          <t>Freight DIFOT</t>
        </is>
      </c>
      <c r="F79" s="39" t="inlineStr">
        <is>
          <t>Count as met</t>
        </is>
      </c>
      <c r="G79" s="39" t="inlineStr">
        <is>
          <t>DC recipient exception - pre-arranged booking, excluded from avg delivery days</t>
        </is>
      </c>
    </row>
    <row r="80">
      <c r="A80" s="72" t="n">
        <v>46199</v>
      </c>
      <c r="B80" s="39" t="inlineStr">
        <is>
          <t>Oricom</t>
        </is>
      </c>
      <c r="C80" s="39" t="inlineStr">
        <is>
          <t>S 001 194615</t>
        </is>
      </c>
      <c r="D80" s="39" t="inlineStr">
        <is>
          <t>2026-05</t>
        </is>
      </c>
      <c r="E80" s="39" t="inlineStr">
        <is>
          <t>Freight DIFOT</t>
        </is>
      </c>
      <c r="F80" s="39" t="inlineStr">
        <is>
          <t>Count as met</t>
        </is>
      </c>
      <c r="G80" s="39" t="inlineStr">
        <is>
          <t>DC recipient exception - pre-arranged booking, excluded from avg delivery days</t>
        </is>
      </c>
    </row>
    <row r="81">
      <c r="A81" s="72" t="n">
        <v>46199</v>
      </c>
      <c r="B81" s="39" t="inlineStr">
        <is>
          <t>Oricom</t>
        </is>
      </c>
      <c r="C81" s="39" t="inlineStr">
        <is>
          <t>4521643006</t>
        </is>
      </c>
      <c r="D81" s="39" t="inlineStr">
        <is>
          <t>2026-05</t>
        </is>
      </c>
      <c r="E81" s="39" t="inlineStr">
        <is>
          <t>Freight DIFOT</t>
        </is>
      </c>
      <c r="F81" s="39" t="inlineStr">
        <is>
          <t>Count as met</t>
        </is>
      </c>
      <c r="G81" s="39" t="inlineStr">
        <is>
          <t>DC recipient exception - pre-arranged booking, excluded from avg delivery days</t>
        </is>
      </c>
    </row>
    <row r="82">
      <c r="A82" s="75" t="n">
        <v>46223.46704341436</v>
      </c>
      <c r="B82" s="39" t="inlineStr">
        <is>
          <t>Made Group NZ</t>
        </is>
      </c>
      <c r="C82" s="39" t="inlineStr">
        <is>
          <t>*</t>
        </is>
      </c>
      <c r="E82" s="39" t="inlineStr">
        <is>
          <t>Order Cut Off</t>
        </is>
      </c>
      <c r="F82" s="39" t="inlineStr">
        <is>
          <t>Count as met</t>
        </is>
      </c>
      <c r="G82" s="39" t="inlineStr">
        <is>
          <t>Orders manually processed outside Starshipit — all orders confirmed met per operations agreement</t>
        </is>
      </c>
    </row>
    <row r="83">
      <c r="A83" s="75" t="n">
        <v>46230</v>
      </c>
      <c r="B83" s="39" t="inlineStr">
        <is>
          <t>Logwin - Sikla</t>
        </is>
      </c>
      <c r="C83" s="39" t="inlineStr">
        <is>
          <t>*</t>
        </is>
      </c>
      <c r="E83" s="39" t="inlineStr">
        <is>
          <t>Order Cut Off</t>
        </is>
      </c>
      <c r="F83" s="39" t="inlineStr">
        <is>
          <t>Count as met</t>
        </is>
      </c>
      <c r="G83" s="39" t="inlineStr">
        <is>
          <t>Customer-requested: all orders received Wed 22 Jul - Tue 28 Jul 2026 count as meeting Order Cut Off regardless of dispatch timing</t>
        </is>
      </c>
      <c r="H83" s="72" t="n">
        <v>46225</v>
      </c>
      <c r="I83" s="72" t="n">
        <v>46231</v>
      </c>
    </row>
    <row r="84">
      <c r="A84" s="75" t="n">
        <v>46237</v>
      </c>
      <c r="B84" s="39" t="inlineStr">
        <is>
          <t>Vixxen</t>
        </is>
      </c>
      <c r="C84" s="39" t="inlineStr">
        <is>
          <t>2063</t>
        </is>
      </c>
      <c r="D84" s="39" t="inlineStr">
        <is>
          <t>2026-07</t>
        </is>
      </c>
      <c r="E84" s="39" t="inlineStr">
        <is>
          <t>Order Cut Off</t>
        </is>
      </c>
      <c r="F84" s="39" t="inlineStr">
        <is>
          <t>Count as met</t>
        </is>
      </c>
      <c r="G84" s="39" t="inlineStr">
        <is>
          <t>Held in DRAFT status due to missing product; dispatched once stock became available. CartonCloud API doesn't expose DRAFT status-history, so exact ready date can't be calculated automatically - counted as met per operations review (confirmed stock-hold, not a genuine cutoff miss).</t>
        </is>
      </c>
    </row>
    <row r="85">
      <c r="A85" s="75" t="n">
        <v>46237</v>
      </c>
      <c r="B85" s="39" t="inlineStr">
        <is>
          <t>Vixxen</t>
        </is>
      </c>
      <c r="C85" s="39" t="inlineStr">
        <is>
          <t>2067</t>
        </is>
      </c>
      <c r="D85" s="39" t="inlineStr">
        <is>
          <t>2026-07</t>
        </is>
      </c>
      <c r="E85" s="39" t="inlineStr">
        <is>
          <t>Order Cut Off</t>
        </is>
      </c>
      <c r="F85" s="39" t="inlineStr">
        <is>
          <t>Count as met</t>
        </is>
      </c>
      <c r="G85" s="39" t="inlineStr">
        <is>
          <t>Held in DRAFT status due to missing product; dispatched once stock became available. CartonCloud API doesn't expose DRAFT status-history, so exact ready date can't be calculated automatically - counted as met per operations review (confirmed stock-hold, not a genuine cutoff miss).</t>
        </is>
      </c>
    </row>
    <row r="86">
      <c r="A86" s="75" t="n">
        <v>46237</v>
      </c>
      <c r="B86" s="39" t="inlineStr">
        <is>
          <t>Vixxen</t>
        </is>
      </c>
      <c r="C86" s="39" t="inlineStr">
        <is>
          <t>2068</t>
        </is>
      </c>
      <c r="D86" s="39" t="inlineStr">
        <is>
          <t>2026-07</t>
        </is>
      </c>
      <c r="E86" s="39" t="inlineStr">
        <is>
          <t>Order Cut Off</t>
        </is>
      </c>
      <c r="F86" s="39" t="inlineStr">
        <is>
          <t>Count as met</t>
        </is>
      </c>
      <c r="G86" s="39" t="inlineStr">
        <is>
          <t>Held in DRAFT status due to missing product; dispatched once stock became available. CartonCloud API doesn't expose DRAFT status-history, so exact ready date can't be calculated automatically - counted as met per operations review (confirmed stock-hold, not a genuine cutoff miss).</t>
        </is>
      </c>
    </row>
    <row r="87">
      <c r="A87" s="75" t="n">
        <v>46245</v>
      </c>
      <c r="B87" s="39" t="inlineStr">
        <is>
          <t>Vixxen</t>
        </is>
      </c>
      <c r="C87" s="39" t="inlineStr">
        <is>
          <t>2772</t>
        </is>
      </c>
      <c r="D87" s="39" t="inlineStr">
        <is>
          <t>2026-08</t>
        </is>
      </c>
      <c r="E87" s="39" t="inlineStr">
        <is>
          <t>Order Cut Off</t>
        </is>
      </c>
      <c r="F87" s="39" t="inlineStr">
        <is>
          <t>Count as met</t>
        </is>
      </c>
      <c r="G87" s="39" t="inlineStr">
        <is>
          <t>Farmers delivery orders not yet dispatched today, confirmed by operations to be completed and dispatched by 10am tomorrow (12 Aug 2026), which still makes the Farmers delivery run. One-off for today only - not a genuine cutoff miss.</t>
        </is>
      </c>
    </row>
    <row r="88">
      <c r="A88" s="75" t="n">
        <v>46245</v>
      </c>
      <c r="B88" s="39" t="inlineStr">
        <is>
          <t>Vixxen</t>
        </is>
      </c>
      <c r="C88" s="39" t="inlineStr">
        <is>
          <t>2779</t>
        </is>
      </c>
      <c r="D88" s="39" t="inlineStr">
        <is>
          <t>2026-08</t>
        </is>
      </c>
      <c r="E88" s="39" t="inlineStr">
        <is>
          <t>Order Cut Off</t>
        </is>
      </c>
      <c r="F88" s="39" t="inlineStr">
        <is>
          <t>Count as met</t>
        </is>
      </c>
      <c r="G88" s="39" t="inlineStr">
        <is>
          <t>Farmers delivery orders not yet dispatched today, confirmed by operations to be completed and dispatched by 10am tomorrow (12 Aug 2026), which still makes the Farmers delivery run. One-off for today only - not a genuine cutoff miss.</t>
        </is>
      </c>
    </row>
    <row r="89">
      <c r="A89" s="75" t="n">
        <v>46245</v>
      </c>
      <c r="B89" s="39" t="inlineStr">
        <is>
          <t>Vixxen</t>
        </is>
      </c>
      <c r="C89" s="39" t="inlineStr">
        <is>
          <t>2780</t>
        </is>
      </c>
      <c r="D89" s="39" t="inlineStr">
        <is>
          <t>2026-08</t>
        </is>
      </c>
      <c r="E89" s="39" t="inlineStr">
        <is>
          <t>Order Cut Off</t>
        </is>
      </c>
      <c r="F89" s="39" t="inlineStr">
        <is>
          <t>Count as met</t>
        </is>
      </c>
      <c r="G89" s="39" t="inlineStr">
        <is>
          <t>Farmers delivery orders not yet dispatched today, confirmed by operations to be completed and dispatched by 10am tomorrow (12 Aug 2026), which still makes the Farmers delivery run. One-off for today only - not a genuine cutoff miss.</t>
        </is>
      </c>
    </row>
    <row r="90">
      <c r="A90" s="75" t="n">
        <v>46245</v>
      </c>
      <c r="B90" s="39" t="inlineStr">
        <is>
          <t>Vixxen</t>
        </is>
      </c>
      <c r="C90" s="39" t="inlineStr">
        <is>
          <t>2810</t>
        </is>
      </c>
      <c r="D90" s="39" t="inlineStr">
        <is>
          <t>2026-08</t>
        </is>
      </c>
      <c r="E90" s="39" t="inlineStr">
        <is>
          <t>Order Cut Off</t>
        </is>
      </c>
      <c r="F90" s="39" t="inlineStr">
        <is>
          <t>Count as met</t>
        </is>
      </c>
      <c r="G90" s="39" t="inlineStr">
        <is>
          <t>Farmers delivery orders not yet dispatched today, confirmed by operations to be completed and dispatched by 10am tomorrow (12 Aug 2026), which still makes the Farmers delivery run. One-off for today only - not a genuine cutoff miss.</t>
        </is>
      </c>
    </row>
    <row r="91">
      <c r="A91" s="75" t="n">
        <v>46252</v>
      </c>
      <c r="B91" s="39" t="inlineStr">
        <is>
          <t>Oceanbridge</t>
        </is>
      </c>
      <c r="C91" s="39" t="inlineStr">
        <is>
          <t>307</t>
        </is>
      </c>
      <c r="D91" s="39" t="inlineStr">
        <is>
          <t>2026-08</t>
        </is>
      </c>
      <c r="E91" s="39" t="inlineStr">
        <is>
          <t>Dock to Stock</t>
        </is>
      </c>
      <c r="F91" s="39" t="inlineStr">
        <is>
          <t>Count as met</t>
        </is>
      </c>
      <c r="G91" s="39" t="inlineStr">
        <is>
          <t>Customer/warehouse-side issue affecting this PO (known ongoing issue with this account) - counted as met per operations review, not a genuine dock-to-stock delay.</t>
        </is>
      </c>
    </row>
    <row r="92">
      <c r="A92" s="75" t="n">
        <v>46252</v>
      </c>
      <c r="B92" s="39" t="inlineStr">
        <is>
          <t>Flo &amp; Frankie</t>
        </is>
      </c>
      <c r="C92" s="39" t="inlineStr">
        <is>
          <t>277</t>
        </is>
      </c>
      <c r="D92" s="39" t="inlineStr">
        <is>
          <t>2026-08</t>
        </is>
      </c>
      <c r="E92" s="39" t="inlineStr">
        <is>
          <t>Dock to Stock</t>
        </is>
      </c>
      <c r="F92" s="39" t="inlineStr">
        <is>
          <t>Count as met</t>
        </is>
      </c>
      <c r="G92" s="39" t="inlineStr">
        <is>
          <t>CartonCloud status-history log confirms actual Received time 04-08-2026 13:14:03 and Verified time 06-08-2026 07:59:16 = 42.75 hours, within the 48hr target. The KPI calculation currently uses the arrivalDate field at midnight rather than the actual received timestamp, which overstated elapsed hours to 56 - counted as met per the real log, and the underlying calculation is being reviewed separately.</t>
        </is>
      </c>
    </row>
    <row r="93">
      <c r="A93" s="72" t="n">
        <v>46252</v>
      </c>
      <c r="B93" s="39" t="inlineStr">
        <is>
          <t>Oricom</t>
        </is>
      </c>
      <c r="C93" s="39" t="inlineStr">
        <is>
          <t>4521806183</t>
        </is>
      </c>
      <c r="D93" s="39" t="inlineStr">
        <is>
          <t>2026-06</t>
        </is>
      </c>
      <c r="E93" s="39" t="inlineStr">
        <is>
          <t>Freight DIFOT</t>
        </is>
      </c>
      <c r="F93" s="39" t="inlineStr">
        <is>
          <t>Count as met</t>
        </is>
      </c>
      <c r="G93" s="39" t="inlineStr">
        <is>
          <t>DC recipient exception - pre-arranged booking, excluded from avg delivery days</t>
        </is>
      </c>
    </row>
    <row r="94">
      <c r="A94" s="72" t="n">
        <v>46252</v>
      </c>
      <c r="B94" s="39" t="inlineStr">
        <is>
          <t>Oricom</t>
        </is>
      </c>
      <c r="C94" s="39" t="inlineStr">
        <is>
          <t>S 038 147946</t>
        </is>
      </c>
      <c r="D94" s="39" t="inlineStr">
        <is>
          <t>2026-06</t>
        </is>
      </c>
      <c r="E94" s="39" t="inlineStr">
        <is>
          <t>Freight DIFOT</t>
        </is>
      </c>
      <c r="F94" s="39" t="inlineStr">
        <is>
          <t>Count as met</t>
        </is>
      </c>
      <c r="G94" s="39" t="inlineStr">
        <is>
          <t>DC recipient exception - pre-arranged booking, excluded from avg delivery days</t>
        </is>
      </c>
    </row>
    <row r="95">
      <c r="A95" s="72" t="n">
        <v>46252</v>
      </c>
      <c r="B95" s="39" t="inlineStr">
        <is>
          <t>Oricom</t>
        </is>
      </c>
      <c r="C95" s="39" t="inlineStr">
        <is>
          <t>S 127 025620</t>
        </is>
      </c>
      <c r="D95" s="39" t="inlineStr">
        <is>
          <t>2026-07</t>
        </is>
      </c>
      <c r="E95" s="39" t="inlineStr">
        <is>
          <t>Freight DIFOT</t>
        </is>
      </c>
      <c r="F95" s="39" t="inlineStr">
        <is>
          <t>Count as met</t>
        </is>
      </c>
      <c r="G95" s="39" t="inlineStr">
        <is>
          <t>DC recipient exception - pre-arranged booking, excluded from avg delivery days</t>
        </is>
      </c>
    </row>
    <row r="96">
      <c r="A96" s="72" t="n">
        <v>46252</v>
      </c>
      <c r="B96" s="39" t="inlineStr">
        <is>
          <t>Oricom</t>
        </is>
      </c>
      <c r="C96" s="39" t="inlineStr">
        <is>
          <t>4521829230</t>
        </is>
      </c>
      <c r="D96" s="39" t="inlineStr">
        <is>
          <t>2026-07</t>
        </is>
      </c>
      <c r="E96" s="39" t="inlineStr">
        <is>
          <t>Freight DIFOT</t>
        </is>
      </c>
      <c r="F96" s="39" t="inlineStr">
        <is>
          <t>Count as met</t>
        </is>
      </c>
      <c r="G96" s="39" t="inlineStr">
        <is>
          <t>DC recipient exception - pre-arranged booking, excluded from avg delivery days</t>
        </is>
      </c>
    </row>
    <row r="97">
      <c r="A97" s="72" t="n">
        <v>46252</v>
      </c>
      <c r="B97" s="39" t="inlineStr">
        <is>
          <t>Oricom</t>
        </is>
      </c>
      <c r="C97" s="39" t="inlineStr">
        <is>
          <t>4521897041</t>
        </is>
      </c>
      <c r="D97" s="39" t="inlineStr">
        <is>
          <t>2026-07</t>
        </is>
      </c>
      <c r="E97" s="39" t="inlineStr">
        <is>
          <t>Freight DIFOT</t>
        </is>
      </c>
      <c r="F97" s="39" t="inlineStr">
        <is>
          <t>Count as met</t>
        </is>
      </c>
      <c r="G97" s="39" t="inlineStr">
        <is>
          <t>DC recipient exception - pre-arranged booking, excluded from avg delivery days</t>
        </is>
      </c>
    </row>
    <row r="98">
      <c r="A98" s="72" t="n">
        <v>46252</v>
      </c>
      <c r="B98" s="39" t="inlineStr">
        <is>
          <t>Oricom</t>
        </is>
      </c>
      <c r="C98" s="39" t="inlineStr">
        <is>
          <t>4706928753</t>
        </is>
      </c>
      <c r="D98" s="39" t="inlineStr">
        <is>
          <t>2026-07</t>
        </is>
      </c>
      <c r="E98" s="39" t="inlineStr">
        <is>
          <t>Freight DIFOT</t>
        </is>
      </c>
      <c r="F98" s="39" t="inlineStr">
        <is>
          <t>Count as met</t>
        </is>
      </c>
      <c r="G98" s="39" t="inlineStr">
        <is>
          <t>DC recipient exception - pre-arranged booking, excluded from avg delivery days</t>
        </is>
      </c>
    </row>
    <row r="99">
      <c r="A99" s="72" t="n">
        <v>46252</v>
      </c>
      <c r="B99" s="39" t="inlineStr">
        <is>
          <t>Oricom</t>
        </is>
      </c>
      <c r="C99" s="39" t="inlineStr">
        <is>
          <t>4706935630</t>
        </is>
      </c>
      <c r="D99" s="39" t="inlineStr">
        <is>
          <t>2026-07</t>
        </is>
      </c>
      <c r="E99" s="39" t="inlineStr">
        <is>
          <t>Freight DIFOT</t>
        </is>
      </c>
      <c r="F99" s="39" t="inlineStr">
        <is>
          <t>Count as met</t>
        </is>
      </c>
      <c r="G99" s="39" t="inlineStr">
        <is>
          <t>DC recipient exception - pre-arranged booking, excluded from avg delivery days</t>
        </is>
      </c>
    </row>
    <row r="100">
      <c r="A100" s="72" t="n">
        <v>46252</v>
      </c>
      <c r="B100" s="39" t="inlineStr">
        <is>
          <t>Oricom</t>
        </is>
      </c>
      <c r="C100" s="39" t="inlineStr">
        <is>
          <t>4521926553</t>
        </is>
      </c>
      <c r="D100" s="39" t="inlineStr">
        <is>
          <t>2026-07</t>
        </is>
      </c>
      <c r="E100" s="39" t="inlineStr">
        <is>
          <t>Freight DIFOT</t>
        </is>
      </c>
      <c r="F100" s="39" t="inlineStr">
        <is>
          <t>Count as met</t>
        </is>
      </c>
      <c r="G100" s="39" t="inlineStr">
        <is>
          <t>DC recipient exception - pre-arranged booking, excluded from avg delivery days</t>
        </is>
      </c>
    </row>
    <row r="101">
      <c r="A101" s="72" t="n">
        <v>46252</v>
      </c>
      <c r="B101" s="39" t="inlineStr">
        <is>
          <t>Oricom</t>
        </is>
      </c>
      <c r="C101" s="39" t="inlineStr">
        <is>
          <t>S 122 127693</t>
        </is>
      </c>
      <c r="D101" s="39" t="inlineStr">
        <is>
          <t>2026-07</t>
        </is>
      </c>
      <c r="E101" s="39" t="inlineStr">
        <is>
          <t>Freight DIFOT</t>
        </is>
      </c>
      <c r="F101" s="39" t="inlineStr">
        <is>
          <t>Count as met</t>
        </is>
      </c>
      <c r="G101" s="39" t="inlineStr">
        <is>
          <t>DC recipient exception - pre-arranged booking, excluded from avg delivery days</t>
        </is>
      </c>
    </row>
    <row r="102">
      <c r="A102" s="72" t="n">
        <v>46252</v>
      </c>
      <c r="B102" s="39" t="inlineStr">
        <is>
          <t>Oricom</t>
        </is>
      </c>
      <c r="C102" s="39" t="inlineStr">
        <is>
          <t>4521958020</t>
        </is>
      </c>
      <c r="D102" s="39" t="inlineStr">
        <is>
          <t>2026-07</t>
        </is>
      </c>
      <c r="E102" s="39" t="inlineStr">
        <is>
          <t>Freight DIFOT</t>
        </is>
      </c>
      <c r="F102" s="39" t="inlineStr">
        <is>
          <t>Count as met</t>
        </is>
      </c>
      <c r="G102" s="39" t="inlineStr">
        <is>
          <t>DC recipient exception - pre-arranged booking, excluded from avg delivery days</t>
        </is>
      </c>
    </row>
    <row r="103">
      <c r="A103" s="72" t="n">
        <v>46267</v>
      </c>
      <c r="B103" s="39" t="inlineStr">
        <is>
          <t>Oricom</t>
        </is>
      </c>
      <c r="C103" s="39" t="inlineStr">
        <is>
          <t>4522061761</t>
        </is>
      </c>
      <c r="D103" s="39" t="inlineStr">
        <is>
          <t>2026-08</t>
        </is>
      </c>
      <c r="E103" s="39" t="inlineStr">
        <is>
          <t>Freight DIFOT</t>
        </is>
      </c>
      <c r="F103" s="39" t="inlineStr">
        <is>
          <t>Count as met</t>
        </is>
      </c>
      <c r="G103" s="39" t="inlineStr">
        <is>
          <t>DC recipient exception - pre-arranged booking, excluded from avg delivery days</t>
        </is>
      </c>
    </row>
    <row r="104">
      <c r="A104" s="72" t="n">
        <v>46267</v>
      </c>
      <c r="B104" s="39" t="inlineStr">
        <is>
          <t>Oricom</t>
        </is>
      </c>
      <c r="C104" s="39" t="inlineStr">
        <is>
          <t>4707032853</t>
        </is>
      </c>
      <c r="D104" s="39" t="inlineStr">
        <is>
          <t>2026-08</t>
        </is>
      </c>
      <c r="E104" s="39" t="inlineStr">
        <is>
          <t>Freight DIFOT</t>
        </is>
      </c>
      <c r="F104" s="39" t="inlineStr">
        <is>
          <t>Count as met</t>
        </is>
      </c>
      <c r="G104" s="39" t="inlineStr">
        <is>
          <t>DC recipient exception - pre-arranged booking, excluded from avg delivery days</t>
        </is>
      </c>
    </row>
    <row r="105">
      <c r="A105" s="72" t="n">
        <v>46267</v>
      </c>
      <c r="B105" s="39" t="inlineStr">
        <is>
          <t>Oricom</t>
        </is>
      </c>
      <c r="C105" s="39" t="inlineStr">
        <is>
          <t>4707023244</t>
        </is>
      </c>
      <c r="D105" s="39" t="inlineStr">
        <is>
          <t>2026-08</t>
        </is>
      </c>
      <c r="E105" s="39" t="inlineStr">
        <is>
          <t>Freight DIFOT</t>
        </is>
      </c>
      <c r="F105" s="39" t="inlineStr">
        <is>
          <t>Count as met</t>
        </is>
      </c>
      <c r="G105" s="39" t="inlineStr">
        <is>
          <t>DC recipient exception - pre-arranged booking, excluded from avg delivery days</t>
        </is>
      </c>
    </row>
    <row r="106">
      <c r="A106" s="72" t="n">
        <v>46267</v>
      </c>
      <c r="B106" s="39" t="inlineStr">
        <is>
          <t>Oricom</t>
        </is>
      </c>
      <c r="C106" s="39" t="inlineStr">
        <is>
          <t>4706996957</t>
        </is>
      </c>
      <c r="D106" s="39" t="inlineStr">
        <is>
          <t>2026-08</t>
        </is>
      </c>
      <c r="E106" s="39" t="inlineStr">
        <is>
          <t>Freight DIFOT</t>
        </is>
      </c>
      <c r="F106" s="39" t="inlineStr">
        <is>
          <t>Count as met</t>
        </is>
      </c>
      <c r="G106" s="39" t="inlineStr">
        <is>
          <t>DC recipient exception - pre-arranged booking, excluded from avg delivery days</t>
        </is>
      </c>
    </row>
    <row r="107">
      <c r="A107" s="72" t="n">
        <v>46267</v>
      </c>
      <c r="B107" s="39" t="inlineStr">
        <is>
          <t>Oricom</t>
        </is>
      </c>
      <c r="C107" s="39" t="inlineStr">
        <is>
          <t>4522009214</t>
        </is>
      </c>
      <c r="D107" s="39" t="inlineStr">
        <is>
          <t>2026-08</t>
        </is>
      </c>
      <c r="E107" s="39" t="inlineStr">
        <is>
          <t>Freight DIFOT</t>
        </is>
      </c>
      <c r="F107" s="39" t="inlineStr">
        <is>
          <t>Count as met</t>
        </is>
      </c>
      <c r="G107" s="39" t="inlineStr">
        <is>
          <t>DC recipient exception - pre-arranged booking, excluded from avg delivery days</t>
        </is>
      </c>
    </row>
    <row r="108">
      <c r="A108" s="72" t="n">
        <v>46267</v>
      </c>
      <c r="B108" s="39" t="inlineStr">
        <is>
          <t>Oricom</t>
        </is>
      </c>
      <c r="C108" s="39" t="inlineStr">
        <is>
          <t>4521985307</t>
        </is>
      </c>
      <c r="D108" s="39" t="inlineStr">
        <is>
          <t>2026-08</t>
        </is>
      </c>
      <c r="E108" s="39" t="inlineStr">
        <is>
          <t>Freight DIFOT</t>
        </is>
      </c>
      <c r="F108" s="39" t="inlineStr">
        <is>
          <t>Count as met</t>
        </is>
      </c>
      <c r="G108" s="39" t="inlineStr">
        <is>
          <t>DC recipient exception - pre-arranged booking, excluded from avg delivery days</t>
        </is>
      </c>
    </row>
    <row r="109">
      <c r="A109" s="72" t="n">
        <v>46267</v>
      </c>
      <c r="B109" s="39" t="inlineStr">
        <is>
          <t>Oricom</t>
        </is>
      </c>
      <c r="C109" s="39" t="inlineStr">
        <is>
          <t>S 076 147049</t>
        </is>
      </c>
      <c r="D109" s="39" t="inlineStr">
        <is>
          <t>2026-08</t>
        </is>
      </c>
      <c r="E109" s="39" t="inlineStr">
        <is>
          <t>Freight DIFOT</t>
        </is>
      </c>
      <c r="F109" s="39" t="inlineStr">
        <is>
          <t>Count as met</t>
        </is>
      </c>
      <c r="G109" s="39" t="inlineStr">
        <is>
          <t>DC recipient exception - pre-arranged booking, excluded from avg delivery days</t>
        </is>
      </c>
    </row>
    <row r="110">
      <c r="A110" s="72" t="n">
        <v>46267</v>
      </c>
      <c r="B110" s="39" t="inlineStr">
        <is>
          <t>Oricom</t>
        </is>
      </c>
      <c r="C110" s="39" t="inlineStr">
        <is>
          <t>4706974759</t>
        </is>
      </c>
      <c r="D110" s="39" t="inlineStr">
        <is>
          <t>2026-08</t>
        </is>
      </c>
      <c r="E110" s="39" t="inlineStr">
        <is>
          <t>Freight DIFOT</t>
        </is>
      </c>
      <c r="F110" s="39" t="inlineStr">
        <is>
          <t>Count as met</t>
        </is>
      </c>
      <c r="G110" s="39" t="inlineStr">
        <is>
          <t>DC recipient exception - pre-arranged booking, excluded from avg delivery days</t>
        </is>
      </c>
    </row>
    <row r="111">
      <c r="A111" s="72" t="n">
        <v>46267</v>
      </c>
      <c r="B111" s="39" t="inlineStr">
        <is>
          <t>Samsung Batteries CP</t>
        </is>
      </c>
      <c r="C111" s="39" t="inlineStr">
        <is>
          <t>3638</t>
        </is>
      </c>
      <c r="D111" s="39" t="inlineStr">
        <is>
          <t>2026-08</t>
        </is>
      </c>
      <c r="E111" s="39" t="inlineStr">
        <is>
          <t>Order Cut Off</t>
        </is>
      </c>
      <c r="F111" s="39" t="inlineStr">
        <is>
          <t>Count as met</t>
        </is>
      </c>
      <c r="G111" s="39" t="inlineStr">
        <is>
          <t>Customer delayed their own pickup/collection of the order (customer did not want to collect on the expected day); dispatch held pending customer availability - not a fulfilment-side delay. Counted as met per operations review.</t>
        </is>
      </c>
    </row>
    <row r="112">
      <c r="A112" s="66" t="inlineStr">
        <is>
          <t>Action must be either "Exclude from calculation" or "Count as met". KPI should match the KPI name exactly (e.g. "Order Cut Off"). Order Reference must match the customer's order reference number.</t>
        </is>
      </c>
    </row>
    <row r="113"/>
    <row r="114">
      <c r="A114" s="64" t="inlineStr">
        <is>
          <t>Order Content-Based Overrides</t>
        </is>
      </c>
    </row>
    <row r="115">
      <c r="A115" s="65" t="inlineStr">
        <is>
          <t>Customer</t>
        </is>
      </c>
    </row>
    <row r="116">
      <c r="A116" s="39" t="inlineStr">
        <is>
          <t>Vixxen</t>
        </is>
      </c>
      <c r="B116" s="39" t="inlineStr">
        <is>
          <t>Delivery Company Name</t>
        </is>
      </c>
      <c r="C116" s="39" t="inlineStr">
        <is>
          <t>farmers</t>
        </is>
      </c>
      <c r="D116" s="39" t="inlineStr">
        <is>
          <t>Next Tuesday (17:00)</t>
        </is>
      </c>
    </row>
    <row r="117">
      <c r="A117" s="39" t="inlineStr">
        <is>
          <t>Simply Clean</t>
        </is>
      </c>
      <c r="B117" s="39" t="inlineStr">
        <is>
          <t>Delivery Company Name</t>
        </is>
      </c>
      <c r="C117" s="39" t="inlineStr">
        <is>
          <t>briscoes</t>
        </is>
      </c>
      <c r="D117" s="39" t="inlineStr">
        <is>
          <t>Next Tuesday (17:00)</t>
        </is>
      </c>
    </row>
    <row r="118">
      <c r="A118" s="39" t="inlineStr">
        <is>
          <t>Vixxen</t>
        </is>
      </c>
      <c r="B118" s="39" t="inlineStr">
        <is>
          <t>Delivery Company Name</t>
        </is>
      </c>
      <c r="C118" s="39" t="inlineStr">
        <is>
          <t>farmers</t>
        </is>
      </c>
      <c r="D118" s="39" t="inlineStr">
        <is>
          <t>Next Monday (20:00)</t>
        </is>
      </c>
      <c r="E118" s="75" t="n">
        <v>46251</v>
      </c>
      <c r="F118" s="75" t="n">
        <v>46254</v>
      </c>
    </row>
    <row r="119">
      <c r="A119" s="39" t="inlineStr">
        <is>
          <t>Gym Equip</t>
        </is>
      </c>
      <c r="B119" s="39" t="inlineStr">
        <is>
          <t>All Orders</t>
        </is>
      </c>
      <c r="C119" s="39" t="inlineStr">
        <is>
          <t>all</t>
        </is>
      </c>
      <c r="D119" s="39" t="inlineStr">
        <is>
          <t>Fixed (2026-09-02 20:00)</t>
        </is>
      </c>
      <c r="E119" s="75" t="n"/>
      <c r="F119" s="75" t="n">
        <v>46266</v>
      </c>
    </row>
    <row r="120">
      <c r="A120" t="inlineStr">
        <is>
          <t>Simply Clean</t>
        </is>
      </c>
      <c r="B120" t="inlineStr">
        <is>
          <t>Delivery Company Name</t>
        </is>
      </c>
      <c r="C120" t="inlineStr">
        <is>
          <t>briscoes group</t>
        </is>
      </c>
      <c r="D120" t="inlineStr">
        <is>
          <t>Fixed (2026-09-18 20:00)</t>
        </is>
      </c>
      <c r="E120" s="75" t="n">
        <v>46280</v>
      </c>
      <c r="F120" s="75" t="n">
        <v>46280</v>
      </c>
    </row>
    <row r="126">
      <c r="A126" s="66" t="inlineStr">
        <is>
          <t>Match Field currently supports "Delivery Company Name" or "All Orders" (matches every order for that customer, regardless of content - use with Contains="all"). Deadline Rule may be "Same day", "Next business day (EOD)", "Next &lt;Weekday&gt; (&lt;time&gt;)" e.g. "Next Tuesday (5pm)" - the next occurrence of that weekday on/after the order's creation date, at the given NZ time - or "Fixed (&lt;YYYY-MM-DD HH:MM&gt;)" for a single absolute deadline applied to every order in the effective window (e.g. a customer-wide stock hold/customs embargo). Leave Effective From/To blank to apply to all dates.</t>
        </is>
      </c>
    </row>
    <row r="129">
      <c r="A129" s="68" t="inlineStr">
        <is>
          <t>Table 4: DIFOT Delivery Recipient Exceptions</t>
        </is>
      </c>
    </row>
    <row r="130">
      <c r="A130" s="69" t="inlineStr">
        <is>
          <t>Match Field</t>
        </is>
      </c>
      <c r="F130" s="69" t="inlineStr">
        <is>
          <t>Attribute To</t>
        </is>
      </c>
      <c r="G130" s="69" t="inlineStr">
        <is>
          <t>Reason</t>
        </is>
      </c>
    </row>
    <row r="131">
      <c r="A131" s="39" t="inlineStr">
        <is>
          <t>ShipTo</t>
        </is>
      </c>
      <c r="B131" s="39" t="inlineStr">
        <is>
          <t>supercheap</t>
        </is>
      </c>
      <c r="C131" s="39" t="inlineStr">
        <is>
          <t>Count as met</t>
        </is>
      </c>
      <c r="F131" s="39" t="inlineStr">
        <is>
          <t>Oricom</t>
        </is>
      </c>
      <c r="G131" s="70" t="inlineStr">
        <is>
          <t>Supercheap Auto/Retail DC orders use separate pre-arranged bookings, not standard carrier tracking</t>
        </is>
      </c>
    </row>
    <row r="132">
      <c r="A132" s="39" t="inlineStr">
        <is>
          <t>ShipTo</t>
        </is>
      </c>
    </row>
    <row r="133">
      <c r="A133" s="39" t="inlineStr">
        <is>
          <t>ShipTo</t>
        </is>
      </c>
      <c r="B133" s="39" t="inlineStr">
        <is>
          <t>srg</t>
        </is>
      </c>
      <c r="C133" s="39" t="inlineStr">
        <is>
          <t>Count as met</t>
        </is>
      </c>
      <c r="F133" s="39" t="inlineStr">
        <is>
          <t>Oricom</t>
        </is>
      </c>
      <c r="G133" s="70" t="inlineStr">
        <is>
          <t>SRG (Super Retail Group) DC orders use separate pre-arranged bookings</t>
        </is>
      </c>
    </row>
    <row r="134">
      <c r="A134" s="39" t="inlineStr">
        <is>
          <t>ShipTo</t>
        </is>
      </c>
      <c r="B134" s="39" t="inlineStr">
        <is>
          <t>repco</t>
        </is>
      </c>
      <c r="C134" s="39" t="inlineStr">
        <is>
          <t>Count as met</t>
        </is>
      </c>
      <c r="F134" s="39" t="inlineStr">
        <is>
          <t>Oricom</t>
        </is>
      </c>
      <c r="G134" s="70" t="inlineStr">
        <is>
          <t>Repco (GPC-owned) orders use separate pre-arranged bookings</t>
        </is>
      </c>
    </row>
    <row r="136">
      <c r="A136" s="71" t="inlineStr">
        <is>
          <t>Match Field "ShipTo" checks the Starshipit ShipTo field (case-insensitive substring match). Action "Count as met" includes these orders in the DIFOT denominator and marks them as on-time, regardless of tracking status or actual delivery date. "Attribute To" sets the customer these orders are attributed to directly (bypassing the CartonCloud join), which is needed for pre-integration DC orders where the Starshipit TheirRef does not correspond to a CC numericId. Action "Exclude" removes the order from the DIFOT calculation entirely.</t>
        </is>
      </c>
    </row>
    <row r="139">
      <c r="A139" s="68" t="inlineStr">
        <is>
          <t>Table 5: International Carrier SLAs</t>
        </is>
      </c>
    </row>
    <row r="140">
      <c r="A140" s="69" t="inlineStr">
        <is>
          <t>Service Code</t>
        </is>
      </c>
      <c r="B140" s="69" t="inlineStr">
        <is>
          <t>Destination</t>
        </is>
      </c>
      <c r="C140" s="69" t="inlineStr">
        <is>
          <t>Business Days</t>
        </is>
      </c>
      <c r="D140" s="69" t="inlineStr">
        <is>
          <t>Source</t>
        </is>
      </c>
      <c r="E140" s="69" t="inlineStr">
        <is>
          <t>Notes</t>
        </is>
      </c>
    </row>
    <row r="141">
      <c r="A141" s="39" t="inlineStr">
        <is>
          <t>FEDEX_INTERNATIONAL_CONNECT_PLUS</t>
        </is>
      </c>
      <c r="B141" s="39" t="inlineStr">
        <is>
          <t>All international</t>
        </is>
      </c>
      <c r="C141" s="39" t="n">
        <v>3</v>
      </c>
      <c r="D141" s="39" t="inlineStr">
        <is>
          <t>fedex.com/en-nz</t>
        </is>
      </c>
      <c r="E141" s="70" t="inlineStr">
        <is>
          <t>FedEx FICP 'typically 2-3 business days worldwide' - using maximum per FP policy</t>
        </is>
      </c>
    </row>
    <row r="143">
      <c r="A143" s="71" t="inlineStr">
        <is>
          <t>Business Days are calculated from pickup date using add_business_days() (Mon-Fri only). To add a new carrier/destination rule, add a row here and update extract_difot.py INTL_CARRIER_DAYS dict. If a range is published (e.g. 3-5 days), always use the maximum.</t>
        </is>
      </c>
    </row>
    <row r="146">
      <c r="A146" s="39" t="inlineStr">
        <is>
          <t>Table 6: Public Holidays</t>
        </is>
      </c>
    </row>
    <row r="147">
      <c r="A147" s="39" t="inlineStr">
        <is>
          <t>Date</t>
        </is>
      </c>
      <c r="B147" s="39" t="inlineStr">
        <is>
          <t>Notes</t>
        </is>
      </c>
    </row>
    <row r="148">
      <c r="A148" s="72" t="n">
        <v>46213</v>
      </c>
      <c r="B148" s="39" t="inlineStr">
        <is>
          <t>Wellington Anniversary / regional public holiday — deadlines falling on this day roll to next business day</t>
        </is>
      </c>
    </row>
    <row r="149">
      <c r="A149" s="75" t="n"/>
      <c r="B149" s="39" t="n"/>
    </row>
    <row r="151">
      <c r="A151" s="39" t="inlineStr">
        <is>
          <t>Add future public holidays here. Deadlines (Order Cut Off, required delivery date) that fall on a listed date will automatically roll forward to the next business day.</t>
        </is>
      </c>
    </row>
    <row r="153">
      <c r="A153" s="39" t="inlineStr">
        <is>
          <t>Table 7: Operational Exceptions (Non-Business Days)</t>
        </is>
      </c>
    </row>
    <row r="154">
      <c r="A154" s="39" t="inlineStr">
        <is>
          <t>Date</t>
        </is>
      </c>
      <c r="B154" s="39" t="inlineStr">
        <is>
          <t>Reason</t>
        </is>
      </c>
    </row>
    <row r="155">
      <c r="A155" s="75" t="n">
        <v>46244</v>
      </c>
      <c r="B155" s="39" t="inlineStr">
        <is>
          <t>Warehouse fibre/network outage - unable to process orders all day. NOT a public holiday - an operational disruption logged here so KPI deadline calculations treat it the same way a public holiday is treated (Order Cut Off and required-delivery-date deadlines roll to the next genuine business day; no orders penalised for lack of processing today).</t>
        </is>
      </c>
    </row>
    <row r="157">
      <c r="A157" s="39" t="inlineStr">
        <is>
          <t>Add one-off operational disruptions here (e.g. system outages, warehouse closures) that should count as a non-business day for KPI deadlines without being recorded as an actual public holiday. Functions identically to Table 6 for deadline-rolling purposes.</t>
        </is>
      </c>
    </row>
  </sheetData>
  <mergeCells count="6">
    <mergeCell ref="A53:G53"/>
    <mergeCell ref="A60:E60"/>
    <mergeCell ref="A15:F15"/>
    <mergeCell ref="A43:G43"/>
    <mergeCell ref="A56:E56"/>
    <mergeCell ref="A46:G4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16" customWidth="1" style="34" min="1" max="1"/>
    <col width="26" customWidth="1" style="34" min="2" max="2"/>
    <col width="18" customWidth="1" style="34" min="3" max="3"/>
    <col width="16" customWidth="1" style="34" min="4" max="4"/>
    <col width="60" customWidth="1" style="34" min="5" max="5"/>
  </cols>
  <sheetData>
    <row r="1">
      <c r="A1" s="77" t="inlineStr">
        <is>
          <t>Issue Log</t>
        </is>
      </c>
    </row>
    <row r="2" ht="30" customHeight="1" s="34">
      <c r="A2" s="78" t="inlineStr">
        <is>
          <t>Feeds the Order Accuracy by Unit KPI. Log every fulfilment issue here as it's found - wrong item picked, wrong quantity, damaged on arrival, missing item, etc. Quantity Wrong is the number of UNITS affected by this specific issue (not the whole order's unit count unless the whole order was wrong). The month an issue counts against is taken from Date Logged, so log issues promptly, close to when the order shipped.</t>
        </is>
      </c>
    </row>
    <row r="4">
      <c r="A4" s="79" t="inlineStr">
        <is>
          <t>Date Logged</t>
        </is>
      </c>
      <c r="B4" s="79" t="inlineStr">
        <is>
          <t>Customer</t>
        </is>
      </c>
      <c r="C4" s="79" t="inlineStr">
        <is>
          <t>Order Reference</t>
        </is>
      </c>
      <c r="D4" s="79" t="inlineStr">
        <is>
          <t>Quantity Wrong</t>
        </is>
      </c>
      <c r="E4" s="79" t="inlineStr">
        <is>
          <t>Issue Details</t>
        </is>
      </c>
    </row>
    <row r="5">
      <c r="A5" s="75" t="n">
        <v>46245</v>
      </c>
      <c r="B5" s="39" t="inlineStr">
        <is>
          <t>Vixxen</t>
        </is>
      </c>
      <c r="C5" s="39" t="inlineStr">
        <is>
          <t>3165</t>
        </is>
      </c>
      <c r="D5" s="39" t="n">
        <v>1</v>
      </c>
      <c r="E5" s="39" t="inlineStr">
        <is>
          <t>Item 7006718003 Sculpt Bra - Size C ordered, Size B sent instead (wrong size picked)</t>
        </is>
      </c>
    </row>
    <row r="6">
      <c r="A6" s="75" t="n">
        <v>46248</v>
      </c>
      <c r="B6" s="39" t="inlineStr">
        <is>
          <t>Simply Clean</t>
        </is>
      </c>
      <c r="C6" s="39" t="inlineStr">
        <is>
          <t>11133</t>
        </is>
      </c>
      <c r="D6" s="39" t="n">
        <v>1</v>
      </c>
      <c r="E6" s="39" t="inlineStr">
        <is>
          <t>Item 8289500070129 - ordered 1106073, incorrectly sent JD13 instead (inwards not done correctly)</t>
        </is>
      </c>
    </row>
    <row r="7">
      <c r="A7" s="75" t="n">
        <v>46248</v>
      </c>
      <c r="B7" s="39" t="inlineStr">
        <is>
          <t>Vixxen</t>
        </is>
      </c>
      <c r="C7" s="39" t="inlineStr">
        <is>
          <t>INV-18027713</t>
        </is>
      </c>
      <c r="D7" s="39" t="n">
        <v>8</v>
      </c>
      <c r="E7" s="39" t="inlineStr">
        <is>
          <t>Sent 2x silicone stick-on bras (D cup, additionals) instead of ordered D-cup wing stick-on bras; also sent 4x disposable nipple covers instead of ordered lacey heart nipple covers, missing 2x lacey heart ones. Total 8 units incorrect.</t>
        </is>
      </c>
    </row>
    <row r="8">
      <c r="A8" s="75" t="n">
        <v>46248</v>
      </c>
      <c r="B8" s="39" t="inlineStr">
        <is>
          <t>Vixxen</t>
        </is>
      </c>
      <c r="C8" s="39" t="inlineStr">
        <is>
          <t>3205</t>
        </is>
      </c>
      <c r="D8" s="39" t="n">
        <v>1</v>
      </c>
      <c r="E8" s="39" t="inlineStr">
        <is>
          <t>Silicone stick-on bra - Size C ordered, Size D sent instead (wrong size picked)</t>
        </is>
      </c>
    </row>
    <row r="9">
      <c r="A9" s="75" t="n">
        <v>46248</v>
      </c>
      <c r="B9" s="39" t="inlineStr">
        <is>
          <t>Vixxen</t>
        </is>
      </c>
      <c r="C9" s="39" t="inlineStr">
        <is>
          <t>3206</t>
        </is>
      </c>
      <c r="D9" s="39" t="n">
        <v>1</v>
      </c>
      <c r="E9" s="39" t="inlineStr">
        <is>
          <t>Silicone stick-on bra - Size A ordered, Size C sent instead (wrong size picked)</t>
        </is>
      </c>
    </row>
  </sheetData>
  <mergeCells count="1">
    <mergeCell ref="A2:E2"/>
  </mergeCells>
  <pageMargins left="0.75" right="0.75" top="1" bottom="1" header="0.5" footer="0.5"/>
</worksheet>
</file>

<file path=xl/worksheets/sheet10.xml><?xml version="1.0" encoding="utf-8"?>
<worksheet xmlns="http://schemas.openxmlformats.org/spreadsheetml/2006/main">
  <sheetPr filterMode="0">
    <outlinePr summaryBelow="1" summaryRight="1"/>
    <pageSetUpPr fitToPage="0"/>
  </sheetPr>
  <dimension ref="A1:AC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 customWidth="1" style="39" min="1" max="29"/>
  </cols>
  <sheetData>
    <row r="1" ht="15" customHeight="1" s="34">
      <c r="A1" s="39" t="inlineStr">
        <is>
          <t>Selected Customer</t>
        </is>
      </c>
      <c r="B1" s="39">
        <f>Dashboard!C4</f>
        <v/>
      </c>
    </row>
    <row r="2" ht="15" customHeight="1" s="34">
      <c r="A2" s="39" t="inlineStr">
        <is>
          <t>Latest Month</t>
        </is>
      </c>
      <c r="B2" s="60">
        <f>MAX(KPI_Data!A4:A295)</f>
        <v/>
      </c>
    </row>
    <row r="4" ht="26.25" customHeight="1" s="34">
      <c r="A4" s="67" t="inlineStr">
        <is>
          <t>Month</t>
        </is>
      </c>
      <c r="B4" s="67" t="inlineStr">
        <is>
          <t>Target</t>
        </is>
      </c>
      <c r="C4" s="67" t="inlineStr">
        <is>
          <t>Numerator</t>
        </is>
      </c>
      <c r="D4" s="67" t="inlineStr">
        <is>
          <t>Denominator</t>
        </is>
      </c>
      <c r="E4" s="67" t="inlineStr">
        <is>
          <t>Actual %</t>
        </is>
      </c>
      <c r="G4" s="67" t="inlineStr">
        <is>
          <t>Month</t>
        </is>
      </c>
      <c r="H4" s="67" t="inlineStr">
        <is>
          <t>Target</t>
        </is>
      </c>
      <c r="I4" s="67" t="inlineStr">
        <is>
          <t>Numerator</t>
        </is>
      </c>
      <c r="J4" s="67" t="inlineStr">
        <is>
          <t>Denominator</t>
        </is>
      </c>
      <c r="K4" s="67" t="inlineStr">
        <is>
          <t>Actual %</t>
        </is>
      </c>
      <c r="M4" s="67" t="inlineStr">
        <is>
          <t>Month</t>
        </is>
      </c>
      <c r="N4" s="67" t="inlineStr">
        <is>
          <t>Target</t>
        </is>
      </c>
      <c r="O4" s="67" t="inlineStr">
        <is>
          <t>Numerator</t>
        </is>
      </c>
      <c r="P4" s="67" t="inlineStr">
        <is>
          <t>Denominator</t>
        </is>
      </c>
      <c r="Q4" s="67" t="inlineStr">
        <is>
          <t>Actual %</t>
        </is>
      </c>
      <c r="S4" s="67" t="inlineStr">
        <is>
          <t>Month</t>
        </is>
      </c>
      <c r="T4" s="67" t="inlineStr">
        <is>
          <t>Target</t>
        </is>
      </c>
      <c r="U4" s="67" t="inlineStr">
        <is>
          <t>Numerator</t>
        </is>
      </c>
      <c r="V4" s="67" t="inlineStr">
        <is>
          <t>Denominator</t>
        </is>
      </c>
      <c r="W4" s="67" t="inlineStr">
        <is>
          <t>Actual %</t>
        </is>
      </c>
      <c r="Y4" s="67" t="inlineStr">
        <is>
          <t>Month</t>
        </is>
      </c>
      <c r="Z4" s="67" t="inlineStr">
        <is>
          <t>Target</t>
        </is>
      </c>
      <c r="AA4" s="67" t="inlineStr">
        <is>
          <t>Numerator</t>
        </is>
      </c>
      <c r="AB4" s="67" t="inlineStr">
        <is>
          <t>Denominator</t>
        </is>
      </c>
      <c r="AC4" s="67" t="inlineStr">
        <is>
          <t>Actual %</t>
        </is>
      </c>
    </row>
    <row r="5" ht="15" customHeight="1" s="34">
      <c r="A5" s="60">
        <f>EDATE($B$2,-11)</f>
        <v/>
      </c>
      <c r="B5" s="61">
        <f>INDEX('KPI Schedule'!$B$5:$B$10,MATCH("Dock to Stock",'KPI Schedule'!$A$5:$A$10,0))</f>
        <v/>
      </c>
      <c r="C5" s="39">
        <f>SUMIFS(KPI_Data!$F$4:$F$295,KPI_Data!$B$4:$B$295,$B$1,KPI_Data!$C$4:$C$295,"Dock to Stock",KPI_Data!$A$4:$A$295,A5)</f>
        <v/>
      </c>
      <c r="D5" s="39">
        <f>SUMIFS(KPI_Data!$G$4:$G$295,KPI_Data!$B$4:$B$295,$B$1,KPI_Data!$C$4:$C$295,"Dock to Stock",KPI_Data!$A$4:$A$295,A5)</f>
        <v/>
      </c>
      <c r="E5" s="61">
        <f>IFERROR(C5/D5,"")</f>
        <v/>
      </c>
      <c r="G5" s="60">
        <f>EDATE($B$2,-11)</f>
        <v/>
      </c>
      <c r="H5" s="61">
        <f>INDEX('KPI Schedule'!$B$5:$B$10,MATCH("Cycle Count",'KPI Schedule'!$A$5:$A$10,0))</f>
        <v/>
      </c>
      <c r="I5" s="39">
        <f>SUMIFS(KPI_Data!$F$4:$F$295,KPI_Data!$B$4:$B$295,$B$1,KPI_Data!$C$4:$C$295,"Cycle Count",KPI_Data!$A$4:$A$295,G5)</f>
        <v/>
      </c>
      <c r="J5" s="39">
        <f>SUMIFS(KPI_Data!$G$4:$G$295,KPI_Data!$B$4:$B$295,$B$1,KPI_Data!$C$4:$C$295,"Cycle Count",KPI_Data!$A$4:$A$295,G5)</f>
        <v/>
      </c>
      <c r="K5" s="61">
        <f>IFERROR(I5/J5,"")</f>
        <v/>
      </c>
      <c r="M5" s="60">
        <f>EDATE($B$2,-11)</f>
        <v/>
      </c>
      <c r="N5" s="61">
        <f>INDEX('KPI Schedule'!$B$5:$B$10,MATCH("Order Cut Off",'KPI Schedule'!$A$5:$A$10,0))</f>
        <v/>
      </c>
      <c r="O5" s="39">
        <f>SUMIFS(KPI_Data!$F$4:$F$295,KPI_Data!$B$4:$B$295,$B$1,KPI_Data!$C$4:$C$295,"Order Cut Off",KPI_Data!$A$4:$A$295,M5)</f>
        <v/>
      </c>
      <c r="P5" s="39">
        <f>SUMIFS(KPI_Data!$G$4:$G$295,KPI_Data!$B$4:$B$295,$B$1,KPI_Data!$C$4:$C$295,"Order Cut Off",KPI_Data!$A$4:$A$295,M5)</f>
        <v/>
      </c>
      <c r="Q5" s="61">
        <f>IFERROR(O5/P5,"")</f>
        <v/>
      </c>
      <c r="S5" s="60">
        <f>EDATE($B$2,-11)</f>
        <v/>
      </c>
      <c r="T5" s="61">
        <f>INDEX('KPI Schedule'!$B$5:$B$10,MATCH("Order Accuracy by Unit",'KPI Schedule'!$A$5:$A$10,0))</f>
        <v/>
      </c>
      <c r="U5" s="39">
        <f>SUMIFS(KPI_Data!$F$4:$F$295,KPI_Data!$B$4:$B$295,$B$1,KPI_Data!$C$4:$C$295,"Order Accuracy by Unit",KPI_Data!$A$4:$A$295,S5)</f>
        <v/>
      </c>
      <c r="V5" s="39">
        <f>SUMIFS(KPI_Data!$G$4:$G$295,KPI_Data!$B$4:$B$295,$B$1,KPI_Data!$C$4:$C$295,"Order Accuracy by Unit",KPI_Data!$A$4:$A$295,S5)</f>
        <v/>
      </c>
      <c r="W5" s="61">
        <f>IFERROR(U5/V5,"")</f>
        <v/>
      </c>
      <c r="Y5" s="60">
        <f>EDATE($B$2,-11)</f>
        <v/>
      </c>
      <c r="Z5" s="61">
        <f>INDEX('KPI Schedule'!$B$5:$B$10,MATCH("Freight DIFOT",'KPI Schedule'!$A$5:$A$10,0))</f>
        <v/>
      </c>
      <c r="AA5" s="39">
        <f>SUMIFS(KPI_Data!$F$4:$F$295,KPI_Data!$B$4:$B$295,$B$1,KPI_Data!$C$4:$C$295,"Freight DIFOT",KPI_Data!$A$4:$A$295,Y5)</f>
        <v/>
      </c>
      <c r="AB5" s="39">
        <f>SUMIFS(KPI_Data!$G$4:$G$295,KPI_Data!$B$4:$B$295,$B$1,KPI_Data!$C$4:$C$295,"Freight DIFOT",KPI_Data!$A$4:$A$295,Y5)</f>
        <v/>
      </c>
      <c r="AC5" s="61">
        <f>IFERROR(AA5/AB5,"")</f>
        <v/>
      </c>
    </row>
    <row r="6" ht="15" customHeight="1" s="34">
      <c r="A6" s="60">
        <f>EDATE(A5,1)</f>
        <v/>
      </c>
      <c r="B6" s="61">
        <f>INDEX('KPI Schedule'!$B$5:$B$10,MATCH("Dock to Stock",'KPI Schedule'!$A$5:$A$10,0))</f>
        <v/>
      </c>
      <c r="C6" s="39">
        <f>SUMIFS(KPI_Data!$F$4:$F$295,KPI_Data!$B$4:$B$295,$B$1,KPI_Data!$C$4:$C$295,"Dock to Stock",KPI_Data!$A$4:$A$295,A6)</f>
        <v/>
      </c>
      <c r="D6" s="39">
        <f>SUMIFS(KPI_Data!$G$4:$G$295,KPI_Data!$B$4:$B$295,$B$1,KPI_Data!$C$4:$C$295,"Dock to Stock",KPI_Data!$A$4:$A$295,A6)</f>
        <v/>
      </c>
      <c r="E6" s="61">
        <f>IFERROR(C6/D6,"")</f>
        <v/>
      </c>
      <c r="G6" s="60">
        <f>EDATE(G5,1)</f>
        <v/>
      </c>
      <c r="H6" s="61">
        <f>INDEX('KPI Schedule'!$B$5:$B$10,MATCH("Cycle Count",'KPI Schedule'!$A$5:$A$10,0))</f>
        <v/>
      </c>
      <c r="I6" s="39">
        <f>SUMIFS(KPI_Data!$F$4:$F$295,KPI_Data!$B$4:$B$295,$B$1,KPI_Data!$C$4:$C$295,"Cycle Count",KPI_Data!$A$4:$A$295,G6)</f>
        <v/>
      </c>
      <c r="J6" s="39">
        <f>SUMIFS(KPI_Data!$G$4:$G$295,KPI_Data!$B$4:$B$295,$B$1,KPI_Data!$C$4:$C$295,"Cycle Count",KPI_Data!$A$4:$A$295,G6)</f>
        <v/>
      </c>
      <c r="K6" s="61">
        <f>IFERROR(I6/J6,"")</f>
        <v/>
      </c>
      <c r="M6" s="60">
        <f>EDATE(M5,1)</f>
        <v/>
      </c>
      <c r="N6" s="61">
        <f>INDEX('KPI Schedule'!$B$5:$B$10,MATCH("Order Cut Off",'KPI Schedule'!$A$5:$A$10,0))</f>
        <v/>
      </c>
      <c r="O6" s="39">
        <f>SUMIFS(KPI_Data!$F$4:$F$295,KPI_Data!$B$4:$B$295,$B$1,KPI_Data!$C$4:$C$295,"Order Cut Off",KPI_Data!$A$4:$A$295,M6)</f>
        <v/>
      </c>
      <c r="P6" s="39">
        <f>SUMIFS(KPI_Data!$G$4:$G$295,KPI_Data!$B$4:$B$295,$B$1,KPI_Data!$C$4:$C$295,"Order Cut Off",KPI_Data!$A$4:$A$295,M6)</f>
        <v/>
      </c>
      <c r="Q6" s="61">
        <f>IFERROR(O6/P6,"")</f>
        <v/>
      </c>
      <c r="S6" s="60">
        <f>EDATE(S5,1)</f>
        <v/>
      </c>
      <c r="T6" s="61">
        <f>INDEX('KPI Schedule'!$B$5:$B$10,MATCH("Order Accuracy by Unit",'KPI Schedule'!$A$5:$A$10,0))</f>
        <v/>
      </c>
      <c r="U6" s="39">
        <f>SUMIFS(KPI_Data!$F$4:$F$295,KPI_Data!$B$4:$B$295,$B$1,KPI_Data!$C$4:$C$295,"Order Accuracy by Unit",KPI_Data!$A$4:$A$295,S6)</f>
        <v/>
      </c>
      <c r="V6" s="39">
        <f>SUMIFS(KPI_Data!$G$4:$G$295,KPI_Data!$B$4:$B$295,$B$1,KPI_Data!$C$4:$C$295,"Order Accuracy by Unit",KPI_Data!$A$4:$A$295,S6)</f>
        <v/>
      </c>
      <c r="W6" s="61">
        <f>IFERROR(U6/V6,"")</f>
        <v/>
      </c>
      <c r="Y6" s="60">
        <f>EDATE(Y5,1)</f>
        <v/>
      </c>
      <c r="Z6" s="61">
        <f>INDEX('KPI Schedule'!$B$5:$B$10,MATCH("Freight DIFOT",'KPI Schedule'!$A$5:$A$10,0))</f>
        <v/>
      </c>
      <c r="AA6" s="39">
        <f>SUMIFS(KPI_Data!$F$4:$F$295,KPI_Data!$B$4:$B$295,$B$1,KPI_Data!$C$4:$C$295,"Freight DIFOT",KPI_Data!$A$4:$A$295,Y6)</f>
        <v/>
      </c>
      <c r="AB6" s="39">
        <f>SUMIFS(KPI_Data!$G$4:$G$295,KPI_Data!$B$4:$B$295,$B$1,KPI_Data!$C$4:$C$295,"Freight DIFOT",KPI_Data!$A$4:$A$295,Y6)</f>
        <v/>
      </c>
      <c r="AC6" s="61">
        <f>IFERROR(AA6/AB6,"")</f>
        <v/>
      </c>
    </row>
    <row r="7" ht="15" customHeight="1" s="34">
      <c r="A7" s="60">
        <f>EDATE(A6,1)</f>
        <v/>
      </c>
      <c r="B7" s="61">
        <f>INDEX('KPI Schedule'!$B$5:$B$10,MATCH("Dock to Stock",'KPI Schedule'!$A$5:$A$10,0))</f>
        <v/>
      </c>
      <c r="C7" s="39">
        <f>SUMIFS(KPI_Data!$F$4:$F$295,KPI_Data!$B$4:$B$295,$B$1,KPI_Data!$C$4:$C$295,"Dock to Stock",KPI_Data!$A$4:$A$295,A7)</f>
        <v/>
      </c>
      <c r="D7" s="39">
        <f>SUMIFS(KPI_Data!$G$4:$G$295,KPI_Data!$B$4:$B$295,$B$1,KPI_Data!$C$4:$C$295,"Dock to Stock",KPI_Data!$A$4:$A$295,A7)</f>
        <v/>
      </c>
      <c r="E7" s="61">
        <f>IFERROR(C7/D7,"")</f>
        <v/>
      </c>
      <c r="G7" s="60">
        <f>EDATE(G6,1)</f>
        <v/>
      </c>
      <c r="H7" s="61">
        <f>INDEX('KPI Schedule'!$B$5:$B$10,MATCH("Cycle Count",'KPI Schedule'!$A$5:$A$10,0))</f>
        <v/>
      </c>
      <c r="I7" s="39">
        <f>SUMIFS(KPI_Data!$F$4:$F$295,KPI_Data!$B$4:$B$295,$B$1,KPI_Data!$C$4:$C$295,"Cycle Count",KPI_Data!$A$4:$A$295,G7)</f>
        <v/>
      </c>
      <c r="J7" s="39">
        <f>SUMIFS(KPI_Data!$G$4:$G$295,KPI_Data!$B$4:$B$295,$B$1,KPI_Data!$C$4:$C$295,"Cycle Count",KPI_Data!$A$4:$A$295,G7)</f>
        <v/>
      </c>
      <c r="K7" s="61">
        <f>IFERROR(I7/J7,"")</f>
        <v/>
      </c>
      <c r="M7" s="60">
        <f>EDATE(M6,1)</f>
        <v/>
      </c>
      <c r="N7" s="61">
        <f>INDEX('KPI Schedule'!$B$5:$B$10,MATCH("Order Cut Off",'KPI Schedule'!$A$5:$A$10,0))</f>
        <v/>
      </c>
      <c r="O7" s="39">
        <f>SUMIFS(KPI_Data!$F$4:$F$295,KPI_Data!$B$4:$B$295,$B$1,KPI_Data!$C$4:$C$295,"Order Cut Off",KPI_Data!$A$4:$A$295,M7)</f>
        <v/>
      </c>
      <c r="P7" s="39">
        <f>SUMIFS(KPI_Data!$G$4:$G$295,KPI_Data!$B$4:$B$295,$B$1,KPI_Data!$C$4:$C$295,"Order Cut Off",KPI_Data!$A$4:$A$295,M7)</f>
        <v/>
      </c>
      <c r="Q7" s="61">
        <f>IFERROR(O7/P7,"")</f>
        <v/>
      </c>
      <c r="S7" s="60">
        <f>EDATE(S6,1)</f>
        <v/>
      </c>
      <c r="T7" s="61">
        <f>INDEX('KPI Schedule'!$B$5:$B$10,MATCH("Order Accuracy by Unit",'KPI Schedule'!$A$5:$A$10,0))</f>
        <v/>
      </c>
      <c r="U7" s="39">
        <f>SUMIFS(KPI_Data!$F$4:$F$295,KPI_Data!$B$4:$B$295,$B$1,KPI_Data!$C$4:$C$295,"Order Accuracy by Unit",KPI_Data!$A$4:$A$295,S7)</f>
        <v/>
      </c>
      <c r="V7" s="39">
        <f>SUMIFS(KPI_Data!$G$4:$G$295,KPI_Data!$B$4:$B$295,$B$1,KPI_Data!$C$4:$C$295,"Order Accuracy by Unit",KPI_Data!$A$4:$A$295,S7)</f>
        <v/>
      </c>
      <c r="W7" s="61">
        <f>IFERROR(U7/V7,"")</f>
        <v/>
      </c>
      <c r="Y7" s="60">
        <f>EDATE(Y6,1)</f>
        <v/>
      </c>
      <c r="Z7" s="61">
        <f>INDEX('KPI Schedule'!$B$5:$B$10,MATCH("Freight DIFOT",'KPI Schedule'!$A$5:$A$10,0))</f>
        <v/>
      </c>
      <c r="AA7" s="39">
        <f>SUMIFS(KPI_Data!$F$4:$F$295,KPI_Data!$B$4:$B$295,$B$1,KPI_Data!$C$4:$C$295,"Freight DIFOT",KPI_Data!$A$4:$A$295,Y7)</f>
        <v/>
      </c>
      <c r="AB7" s="39">
        <f>SUMIFS(KPI_Data!$G$4:$G$295,KPI_Data!$B$4:$B$295,$B$1,KPI_Data!$C$4:$C$295,"Freight DIFOT",KPI_Data!$A$4:$A$295,Y7)</f>
        <v/>
      </c>
      <c r="AC7" s="61">
        <f>IFERROR(AA7/AB7,"")</f>
        <v/>
      </c>
    </row>
    <row r="8" ht="15" customHeight="1" s="34">
      <c r="A8" s="60">
        <f>EDATE(A7,1)</f>
        <v/>
      </c>
      <c r="B8" s="61">
        <f>INDEX('KPI Schedule'!$B$5:$B$10,MATCH("Dock to Stock",'KPI Schedule'!$A$5:$A$10,0))</f>
        <v/>
      </c>
      <c r="C8" s="39">
        <f>SUMIFS(KPI_Data!$F$4:$F$295,KPI_Data!$B$4:$B$295,$B$1,KPI_Data!$C$4:$C$295,"Dock to Stock",KPI_Data!$A$4:$A$295,A8)</f>
        <v/>
      </c>
      <c r="D8" s="39">
        <f>SUMIFS(KPI_Data!$G$4:$G$295,KPI_Data!$B$4:$B$295,$B$1,KPI_Data!$C$4:$C$295,"Dock to Stock",KPI_Data!$A$4:$A$295,A8)</f>
        <v/>
      </c>
      <c r="E8" s="61">
        <f>IFERROR(C8/D8,"")</f>
        <v/>
      </c>
      <c r="G8" s="60">
        <f>EDATE(G7,1)</f>
        <v/>
      </c>
      <c r="H8" s="61">
        <f>INDEX('KPI Schedule'!$B$5:$B$10,MATCH("Cycle Count",'KPI Schedule'!$A$5:$A$10,0))</f>
        <v/>
      </c>
      <c r="I8" s="39">
        <f>SUMIFS(KPI_Data!$F$4:$F$295,KPI_Data!$B$4:$B$295,$B$1,KPI_Data!$C$4:$C$295,"Cycle Count",KPI_Data!$A$4:$A$295,G8)</f>
        <v/>
      </c>
      <c r="J8" s="39">
        <f>SUMIFS(KPI_Data!$G$4:$G$295,KPI_Data!$B$4:$B$295,$B$1,KPI_Data!$C$4:$C$295,"Cycle Count",KPI_Data!$A$4:$A$295,G8)</f>
        <v/>
      </c>
      <c r="K8" s="61">
        <f>IFERROR(I8/J8,"")</f>
        <v/>
      </c>
      <c r="M8" s="60">
        <f>EDATE(M7,1)</f>
        <v/>
      </c>
      <c r="N8" s="61">
        <f>INDEX('KPI Schedule'!$B$5:$B$10,MATCH("Order Cut Off",'KPI Schedule'!$A$5:$A$10,0))</f>
        <v/>
      </c>
      <c r="O8" s="39">
        <f>SUMIFS(KPI_Data!$F$4:$F$295,KPI_Data!$B$4:$B$295,$B$1,KPI_Data!$C$4:$C$295,"Order Cut Off",KPI_Data!$A$4:$A$295,M8)</f>
        <v/>
      </c>
      <c r="P8" s="39">
        <f>SUMIFS(KPI_Data!$G$4:$G$295,KPI_Data!$B$4:$B$295,$B$1,KPI_Data!$C$4:$C$295,"Order Cut Off",KPI_Data!$A$4:$A$295,M8)</f>
        <v/>
      </c>
      <c r="Q8" s="61">
        <f>IFERROR(O8/P8,"")</f>
        <v/>
      </c>
      <c r="S8" s="60">
        <f>EDATE(S7,1)</f>
        <v/>
      </c>
      <c r="T8" s="61">
        <f>INDEX('KPI Schedule'!$B$5:$B$10,MATCH("Order Accuracy by Unit",'KPI Schedule'!$A$5:$A$10,0))</f>
        <v/>
      </c>
      <c r="U8" s="39">
        <f>SUMIFS(KPI_Data!$F$4:$F$295,KPI_Data!$B$4:$B$295,$B$1,KPI_Data!$C$4:$C$295,"Order Accuracy by Unit",KPI_Data!$A$4:$A$295,S8)</f>
        <v/>
      </c>
      <c r="V8" s="39">
        <f>SUMIFS(KPI_Data!$G$4:$G$295,KPI_Data!$B$4:$B$295,$B$1,KPI_Data!$C$4:$C$295,"Order Accuracy by Unit",KPI_Data!$A$4:$A$295,S8)</f>
        <v/>
      </c>
      <c r="W8" s="61">
        <f>IFERROR(U8/V8,"")</f>
        <v/>
      </c>
      <c r="Y8" s="60">
        <f>EDATE(Y7,1)</f>
        <v/>
      </c>
      <c r="Z8" s="61">
        <f>INDEX('KPI Schedule'!$B$5:$B$10,MATCH("Freight DIFOT",'KPI Schedule'!$A$5:$A$10,0))</f>
        <v/>
      </c>
      <c r="AA8" s="39">
        <f>SUMIFS(KPI_Data!$F$4:$F$295,KPI_Data!$B$4:$B$295,$B$1,KPI_Data!$C$4:$C$295,"Freight DIFOT",KPI_Data!$A$4:$A$295,Y8)</f>
        <v/>
      </c>
      <c r="AB8" s="39">
        <f>SUMIFS(KPI_Data!$G$4:$G$295,KPI_Data!$B$4:$B$295,$B$1,KPI_Data!$C$4:$C$295,"Freight DIFOT",KPI_Data!$A$4:$A$295,Y8)</f>
        <v/>
      </c>
      <c r="AC8" s="61">
        <f>IFERROR(AA8/AB8,"")</f>
        <v/>
      </c>
    </row>
    <row r="9" ht="15" customHeight="1" s="34">
      <c r="A9" s="60">
        <f>EDATE(A8,1)</f>
        <v/>
      </c>
      <c r="B9" s="61">
        <f>INDEX('KPI Schedule'!$B$5:$B$10,MATCH("Dock to Stock",'KPI Schedule'!$A$5:$A$10,0))</f>
        <v/>
      </c>
      <c r="C9" s="39">
        <f>SUMIFS(KPI_Data!$F$4:$F$295,KPI_Data!$B$4:$B$295,$B$1,KPI_Data!$C$4:$C$295,"Dock to Stock",KPI_Data!$A$4:$A$295,A9)</f>
        <v/>
      </c>
      <c r="D9" s="39">
        <f>SUMIFS(KPI_Data!$G$4:$G$295,KPI_Data!$B$4:$B$295,$B$1,KPI_Data!$C$4:$C$295,"Dock to Stock",KPI_Data!$A$4:$A$295,A9)</f>
        <v/>
      </c>
      <c r="E9" s="61">
        <f>IFERROR(C9/D9,"")</f>
        <v/>
      </c>
      <c r="G9" s="60">
        <f>EDATE(G8,1)</f>
        <v/>
      </c>
      <c r="H9" s="61">
        <f>INDEX('KPI Schedule'!$B$5:$B$10,MATCH("Cycle Count",'KPI Schedule'!$A$5:$A$10,0))</f>
        <v/>
      </c>
      <c r="I9" s="39">
        <f>SUMIFS(KPI_Data!$F$4:$F$295,KPI_Data!$B$4:$B$295,$B$1,KPI_Data!$C$4:$C$295,"Cycle Count",KPI_Data!$A$4:$A$295,G9)</f>
        <v/>
      </c>
      <c r="J9" s="39">
        <f>SUMIFS(KPI_Data!$G$4:$G$295,KPI_Data!$B$4:$B$295,$B$1,KPI_Data!$C$4:$C$295,"Cycle Count",KPI_Data!$A$4:$A$295,G9)</f>
        <v/>
      </c>
      <c r="K9" s="61">
        <f>IFERROR(I9/J9,"")</f>
        <v/>
      </c>
      <c r="M9" s="60">
        <f>EDATE(M8,1)</f>
        <v/>
      </c>
      <c r="N9" s="61">
        <f>INDEX('KPI Schedule'!$B$5:$B$10,MATCH("Order Cut Off",'KPI Schedule'!$A$5:$A$10,0))</f>
        <v/>
      </c>
      <c r="O9" s="39">
        <f>SUMIFS(KPI_Data!$F$4:$F$295,KPI_Data!$B$4:$B$295,$B$1,KPI_Data!$C$4:$C$295,"Order Cut Off",KPI_Data!$A$4:$A$295,M9)</f>
        <v/>
      </c>
      <c r="P9" s="39">
        <f>SUMIFS(KPI_Data!$G$4:$G$295,KPI_Data!$B$4:$B$295,$B$1,KPI_Data!$C$4:$C$295,"Order Cut Off",KPI_Data!$A$4:$A$295,M9)</f>
        <v/>
      </c>
      <c r="Q9" s="61">
        <f>IFERROR(O9/P9,"")</f>
        <v/>
      </c>
      <c r="S9" s="60">
        <f>EDATE(S8,1)</f>
        <v/>
      </c>
      <c r="T9" s="61">
        <f>INDEX('KPI Schedule'!$B$5:$B$10,MATCH("Order Accuracy by Unit",'KPI Schedule'!$A$5:$A$10,0))</f>
        <v/>
      </c>
      <c r="U9" s="39">
        <f>SUMIFS(KPI_Data!$F$4:$F$295,KPI_Data!$B$4:$B$295,$B$1,KPI_Data!$C$4:$C$295,"Order Accuracy by Unit",KPI_Data!$A$4:$A$295,S9)</f>
        <v/>
      </c>
      <c r="V9" s="39">
        <f>SUMIFS(KPI_Data!$G$4:$G$295,KPI_Data!$B$4:$B$295,$B$1,KPI_Data!$C$4:$C$295,"Order Accuracy by Unit",KPI_Data!$A$4:$A$295,S9)</f>
        <v/>
      </c>
      <c r="W9" s="61">
        <f>IFERROR(U9/V9,"")</f>
        <v/>
      </c>
      <c r="Y9" s="60">
        <f>EDATE(Y8,1)</f>
        <v/>
      </c>
      <c r="Z9" s="61">
        <f>INDEX('KPI Schedule'!$B$5:$B$10,MATCH("Freight DIFOT",'KPI Schedule'!$A$5:$A$10,0))</f>
        <v/>
      </c>
      <c r="AA9" s="39">
        <f>SUMIFS(KPI_Data!$F$4:$F$295,KPI_Data!$B$4:$B$295,$B$1,KPI_Data!$C$4:$C$295,"Freight DIFOT",KPI_Data!$A$4:$A$295,Y9)</f>
        <v/>
      </c>
      <c r="AB9" s="39">
        <f>SUMIFS(KPI_Data!$G$4:$G$295,KPI_Data!$B$4:$B$295,$B$1,KPI_Data!$C$4:$C$295,"Freight DIFOT",KPI_Data!$A$4:$A$295,Y9)</f>
        <v/>
      </c>
      <c r="AC9" s="61">
        <f>IFERROR(AA9/AB9,"")</f>
        <v/>
      </c>
    </row>
    <row r="10" ht="15" customHeight="1" s="34">
      <c r="A10" s="60">
        <f>EDATE(A9,1)</f>
        <v/>
      </c>
      <c r="B10" s="61">
        <f>INDEX('KPI Schedule'!$B$5:$B$10,MATCH("Dock to Stock",'KPI Schedule'!$A$5:$A$10,0))</f>
        <v/>
      </c>
      <c r="C10" s="39">
        <f>SUMIFS(KPI_Data!$F$4:$F$295,KPI_Data!$B$4:$B$295,$B$1,KPI_Data!$C$4:$C$295,"Dock to Stock",KPI_Data!$A$4:$A$295,A10)</f>
        <v/>
      </c>
      <c r="D10" s="39">
        <f>SUMIFS(KPI_Data!$G$4:$G$295,KPI_Data!$B$4:$B$295,$B$1,KPI_Data!$C$4:$C$295,"Dock to Stock",KPI_Data!$A$4:$A$295,A10)</f>
        <v/>
      </c>
      <c r="E10" s="61">
        <f>IFERROR(C10/D10,"")</f>
        <v/>
      </c>
      <c r="G10" s="60">
        <f>EDATE(G9,1)</f>
        <v/>
      </c>
      <c r="H10" s="61">
        <f>INDEX('KPI Schedule'!$B$5:$B$10,MATCH("Cycle Count",'KPI Schedule'!$A$5:$A$10,0))</f>
        <v/>
      </c>
      <c r="I10" s="39">
        <f>SUMIFS(KPI_Data!$F$4:$F$295,KPI_Data!$B$4:$B$295,$B$1,KPI_Data!$C$4:$C$295,"Cycle Count",KPI_Data!$A$4:$A$295,G10)</f>
        <v/>
      </c>
      <c r="J10" s="39">
        <f>SUMIFS(KPI_Data!$G$4:$G$295,KPI_Data!$B$4:$B$295,$B$1,KPI_Data!$C$4:$C$295,"Cycle Count",KPI_Data!$A$4:$A$295,G10)</f>
        <v/>
      </c>
      <c r="K10" s="61">
        <f>IFERROR(I10/J10,"")</f>
        <v/>
      </c>
      <c r="M10" s="60">
        <f>EDATE(M9,1)</f>
        <v/>
      </c>
      <c r="N10" s="61">
        <f>INDEX('KPI Schedule'!$B$5:$B$10,MATCH("Order Cut Off",'KPI Schedule'!$A$5:$A$10,0))</f>
        <v/>
      </c>
      <c r="O10" s="39">
        <f>SUMIFS(KPI_Data!$F$4:$F$295,KPI_Data!$B$4:$B$295,$B$1,KPI_Data!$C$4:$C$295,"Order Cut Off",KPI_Data!$A$4:$A$295,M10)</f>
        <v/>
      </c>
      <c r="P10" s="39">
        <f>SUMIFS(KPI_Data!$G$4:$G$295,KPI_Data!$B$4:$B$295,$B$1,KPI_Data!$C$4:$C$295,"Order Cut Off",KPI_Data!$A$4:$A$295,M10)</f>
        <v/>
      </c>
      <c r="Q10" s="61">
        <f>IFERROR(O10/P10,"")</f>
        <v/>
      </c>
      <c r="S10" s="60">
        <f>EDATE(S9,1)</f>
        <v/>
      </c>
      <c r="T10" s="61">
        <f>INDEX('KPI Schedule'!$B$5:$B$10,MATCH("Order Accuracy by Unit",'KPI Schedule'!$A$5:$A$10,0))</f>
        <v/>
      </c>
      <c r="U10" s="39">
        <f>SUMIFS(KPI_Data!$F$4:$F$295,KPI_Data!$B$4:$B$295,$B$1,KPI_Data!$C$4:$C$295,"Order Accuracy by Unit",KPI_Data!$A$4:$A$295,S10)</f>
        <v/>
      </c>
      <c r="V10" s="39">
        <f>SUMIFS(KPI_Data!$G$4:$G$295,KPI_Data!$B$4:$B$295,$B$1,KPI_Data!$C$4:$C$295,"Order Accuracy by Unit",KPI_Data!$A$4:$A$295,S10)</f>
        <v/>
      </c>
      <c r="W10" s="61">
        <f>IFERROR(U10/V10,"")</f>
        <v/>
      </c>
      <c r="Y10" s="60">
        <f>EDATE(Y9,1)</f>
        <v/>
      </c>
      <c r="Z10" s="61">
        <f>INDEX('KPI Schedule'!$B$5:$B$10,MATCH("Freight DIFOT",'KPI Schedule'!$A$5:$A$10,0))</f>
        <v/>
      </c>
      <c r="AA10" s="39">
        <f>SUMIFS(KPI_Data!$F$4:$F$295,KPI_Data!$B$4:$B$295,$B$1,KPI_Data!$C$4:$C$295,"Freight DIFOT",KPI_Data!$A$4:$A$295,Y10)</f>
        <v/>
      </c>
      <c r="AB10" s="39">
        <f>SUMIFS(KPI_Data!$G$4:$G$295,KPI_Data!$B$4:$B$295,$B$1,KPI_Data!$C$4:$C$295,"Freight DIFOT",KPI_Data!$A$4:$A$295,Y10)</f>
        <v/>
      </c>
      <c r="AC10" s="61">
        <f>IFERROR(AA10/AB10,"")</f>
        <v/>
      </c>
    </row>
    <row r="11" ht="15" customHeight="1" s="34">
      <c r="A11" s="60">
        <f>EDATE(A10,1)</f>
        <v/>
      </c>
      <c r="B11" s="61">
        <f>INDEX('KPI Schedule'!$B$5:$B$10,MATCH("Dock to Stock",'KPI Schedule'!$A$5:$A$10,0))</f>
        <v/>
      </c>
      <c r="C11" s="39">
        <f>SUMIFS(KPI_Data!$F$4:$F$295,KPI_Data!$B$4:$B$295,$B$1,KPI_Data!$C$4:$C$295,"Dock to Stock",KPI_Data!$A$4:$A$295,A11)</f>
        <v/>
      </c>
      <c r="D11" s="39">
        <f>SUMIFS(KPI_Data!$G$4:$G$295,KPI_Data!$B$4:$B$295,$B$1,KPI_Data!$C$4:$C$295,"Dock to Stock",KPI_Data!$A$4:$A$295,A11)</f>
        <v/>
      </c>
      <c r="E11" s="61">
        <f>IFERROR(C11/D11,"")</f>
        <v/>
      </c>
      <c r="G11" s="60">
        <f>EDATE(G10,1)</f>
        <v/>
      </c>
      <c r="H11" s="61">
        <f>INDEX('KPI Schedule'!$B$5:$B$10,MATCH("Cycle Count",'KPI Schedule'!$A$5:$A$10,0))</f>
        <v/>
      </c>
      <c r="I11" s="39">
        <f>SUMIFS(KPI_Data!$F$4:$F$295,KPI_Data!$B$4:$B$295,$B$1,KPI_Data!$C$4:$C$295,"Cycle Count",KPI_Data!$A$4:$A$295,G11)</f>
        <v/>
      </c>
      <c r="J11" s="39">
        <f>SUMIFS(KPI_Data!$G$4:$G$295,KPI_Data!$B$4:$B$295,$B$1,KPI_Data!$C$4:$C$295,"Cycle Count",KPI_Data!$A$4:$A$295,G11)</f>
        <v/>
      </c>
      <c r="K11" s="61">
        <f>IFERROR(I11/J11,"")</f>
        <v/>
      </c>
      <c r="M11" s="60">
        <f>EDATE(M10,1)</f>
        <v/>
      </c>
      <c r="N11" s="61">
        <f>INDEX('KPI Schedule'!$B$5:$B$10,MATCH("Order Cut Off",'KPI Schedule'!$A$5:$A$10,0))</f>
        <v/>
      </c>
      <c r="O11" s="39">
        <f>SUMIFS(KPI_Data!$F$4:$F$295,KPI_Data!$B$4:$B$295,$B$1,KPI_Data!$C$4:$C$295,"Order Cut Off",KPI_Data!$A$4:$A$295,M11)</f>
        <v/>
      </c>
      <c r="P11" s="39">
        <f>SUMIFS(KPI_Data!$G$4:$G$295,KPI_Data!$B$4:$B$295,$B$1,KPI_Data!$C$4:$C$295,"Order Cut Off",KPI_Data!$A$4:$A$295,M11)</f>
        <v/>
      </c>
      <c r="Q11" s="61">
        <f>IFERROR(O11/P11,"")</f>
        <v/>
      </c>
      <c r="S11" s="60">
        <f>EDATE(S10,1)</f>
        <v/>
      </c>
      <c r="T11" s="61">
        <f>INDEX('KPI Schedule'!$B$5:$B$10,MATCH("Order Accuracy by Unit",'KPI Schedule'!$A$5:$A$10,0))</f>
        <v/>
      </c>
      <c r="U11" s="39">
        <f>SUMIFS(KPI_Data!$F$4:$F$295,KPI_Data!$B$4:$B$295,$B$1,KPI_Data!$C$4:$C$295,"Order Accuracy by Unit",KPI_Data!$A$4:$A$295,S11)</f>
        <v/>
      </c>
      <c r="V11" s="39">
        <f>SUMIFS(KPI_Data!$G$4:$G$295,KPI_Data!$B$4:$B$295,$B$1,KPI_Data!$C$4:$C$295,"Order Accuracy by Unit",KPI_Data!$A$4:$A$295,S11)</f>
        <v/>
      </c>
      <c r="W11" s="61">
        <f>IFERROR(U11/V11,"")</f>
        <v/>
      </c>
      <c r="Y11" s="60">
        <f>EDATE(Y10,1)</f>
        <v/>
      </c>
      <c r="Z11" s="61">
        <f>INDEX('KPI Schedule'!$B$5:$B$10,MATCH("Freight DIFOT",'KPI Schedule'!$A$5:$A$10,0))</f>
        <v/>
      </c>
      <c r="AA11" s="39">
        <f>SUMIFS(KPI_Data!$F$4:$F$295,KPI_Data!$B$4:$B$295,$B$1,KPI_Data!$C$4:$C$295,"Freight DIFOT",KPI_Data!$A$4:$A$295,Y11)</f>
        <v/>
      </c>
      <c r="AB11" s="39">
        <f>SUMIFS(KPI_Data!$G$4:$G$295,KPI_Data!$B$4:$B$295,$B$1,KPI_Data!$C$4:$C$295,"Freight DIFOT",KPI_Data!$A$4:$A$295,Y11)</f>
        <v/>
      </c>
      <c r="AC11" s="61">
        <f>IFERROR(AA11/AB11,"")</f>
        <v/>
      </c>
    </row>
    <row r="12" ht="15" customHeight="1" s="34">
      <c r="A12" s="60">
        <f>EDATE(A11,1)</f>
        <v/>
      </c>
      <c r="B12" s="61">
        <f>INDEX('KPI Schedule'!$B$5:$B$10,MATCH("Dock to Stock",'KPI Schedule'!$A$5:$A$10,0))</f>
        <v/>
      </c>
      <c r="C12" s="39">
        <f>SUMIFS(KPI_Data!$F$4:$F$295,KPI_Data!$B$4:$B$295,$B$1,KPI_Data!$C$4:$C$295,"Dock to Stock",KPI_Data!$A$4:$A$295,A12)</f>
        <v/>
      </c>
      <c r="D12" s="39">
        <f>SUMIFS(KPI_Data!$G$4:$G$295,KPI_Data!$B$4:$B$295,$B$1,KPI_Data!$C$4:$C$295,"Dock to Stock",KPI_Data!$A$4:$A$295,A12)</f>
        <v/>
      </c>
      <c r="E12" s="61">
        <f>IFERROR(C12/D12,"")</f>
        <v/>
      </c>
      <c r="G12" s="60">
        <f>EDATE(G11,1)</f>
        <v/>
      </c>
      <c r="H12" s="61">
        <f>INDEX('KPI Schedule'!$B$5:$B$10,MATCH("Cycle Count",'KPI Schedule'!$A$5:$A$10,0))</f>
        <v/>
      </c>
      <c r="I12" s="39">
        <f>SUMIFS(KPI_Data!$F$4:$F$295,KPI_Data!$B$4:$B$295,$B$1,KPI_Data!$C$4:$C$295,"Cycle Count",KPI_Data!$A$4:$A$295,G12)</f>
        <v/>
      </c>
      <c r="J12" s="39">
        <f>SUMIFS(KPI_Data!$G$4:$G$295,KPI_Data!$B$4:$B$295,$B$1,KPI_Data!$C$4:$C$295,"Cycle Count",KPI_Data!$A$4:$A$295,G12)</f>
        <v/>
      </c>
      <c r="K12" s="61">
        <f>IFERROR(I12/J12,"")</f>
        <v/>
      </c>
      <c r="M12" s="60">
        <f>EDATE(M11,1)</f>
        <v/>
      </c>
      <c r="N12" s="61">
        <f>INDEX('KPI Schedule'!$B$5:$B$10,MATCH("Order Cut Off",'KPI Schedule'!$A$5:$A$10,0))</f>
        <v/>
      </c>
      <c r="O12" s="39">
        <f>SUMIFS(KPI_Data!$F$4:$F$295,KPI_Data!$B$4:$B$295,$B$1,KPI_Data!$C$4:$C$295,"Order Cut Off",KPI_Data!$A$4:$A$295,M12)</f>
        <v/>
      </c>
      <c r="P12" s="39">
        <f>SUMIFS(KPI_Data!$G$4:$G$295,KPI_Data!$B$4:$B$295,$B$1,KPI_Data!$C$4:$C$295,"Order Cut Off",KPI_Data!$A$4:$A$295,M12)</f>
        <v/>
      </c>
      <c r="Q12" s="61">
        <f>IFERROR(O12/P12,"")</f>
        <v/>
      </c>
      <c r="S12" s="60">
        <f>EDATE(S11,1)</f>
        <v/>
      </c>
      <c r="T12" s="61">
        <f>INDEX('KPI Schedule'!$B$5:$B$10,MATCH("Order Accuracy by Unit",'KPI Schedule'!$A$5:$A$10,0))</f>
        <v/>
      </c>
      <c r="U12" s="39">
        <f>SUMIFS(KPI_Data!$F$4:$F$295,KPI_Data!$B$4:$B$295,$B$1,KPI_Data!$C$4:$C$295,"Order Accuracy by Unit",KPI_Data!$A$4:$A$295,S12)</f>
        <v/>
      </c>
      <c r="V12" s="39">
        <f>SUMIFS(KPI_Data!$G$4:$G$295,KPI_Data!$B$4:$B$295,$B$1,KPI_Data!$C$4:$C$295,"Order Accuracy by Unit",KPI_Data!$A$4:$A$295,S12)</f>
        <v/>
      </c>
      <c r="W12" s="61">
        <f>IFERROR(U12/V12,"")</f>
        <v/>
      </c>
      <c r="Y12" s="60">
        <f>EDATE(Y11,1)</f>
        <v/>
      </c>
      <c r="Z12" s="61">
        <f>INDEX('KPI Schedule'!$B$5:$B$10,MATCH("Freight DIFOT",'KPI Schedule'!$A$5:$A$10,0))</f>
        <v/>
      </c>
      <c r="AA12" s="39">
        <f>SUMIFS(KPI_Data!$F$4:$F$295,KPI_Data!$B$4:$B$295,$B$1,KPI_Data!$C$4:$C$295,"Freight DIFOT",KPI_Data!$A$4:$A$295,Y12)</f>
        <v/>
      </c>
      <c r="AB12" s="39">
        <f>SUMIFS(KPI_Data!$G$4:$G$295,KPI_Data!$B$4:$B$295,$B$1,KPI_Data!$C$4:$C$295,"Freight DIFOT",KPI_Data!$A$4:$A$295,Y12)</f>
        <v/>
      </c>
      <c r="AC12" s="61">
        <f>IFERROR(AA12/AB12,"")</f>
        <v/>
      </c>
    </row>
    <row r="13" ht="15" customHeight="1" s="34">
      <c r="A13" s="60">
        <f>EDATE(A12,1)</f>
        <v/>
      </c>
      <c r="B13" s="61">
        <f>INDEX('KPI Schedule'!$B$5:$B$10,MATCH("Dock to Stock",'KPI Schedule'!$A$5:$A$10,0))</f>
        <v/>
      </c>
      <c r="C13" s="39">
        <f>SUMIFS(KPI_Data!$F$4:$F$295,KPI_Data!$B$4:$B$295,$B$1,KPI_Data!$C$4:$C$295,"Dock to Stock",KPI_Data!$A$4:$A$295,A13)</f>
        <v/>
      </c>
      <c r="D13" s="39">
        <f>SUMIFS(KPI_Data!$G$4:$G$295,KPI_Data!$B$4:$B$295,$B$1,KPI_Data!$C$4:$C$295,"Dock to Stock",KPI_Data!$A$4:$A$295,A13)</f>
        <v/>
      </c>
      <c r="E13" s="61">
        <f>IFERROR(C13/D13,"")</f>
        <v/>
      </c>
      <c r="G13" s="60">
        <f>EDATE(G12,1)</f>
        <v/>
      </c>
      <c r="H13" s="61">
        <f>INDEX('KPI Schedule'!$B$5:$B$10,MATCH("Cycle Count",'KPI Schedule'!$A$5:$A$10,0))</f>
        <v/>
      </c>
      <c r="I13" s="39">
        <f>SUMIFS(KPI_Data!$F$4:$F$295,KPI_Data!$B$4:$B$295,$B$1,KPI_Data!$C$4:$C$295,"Cycle Count",KPI_Data!$A$4:$A$295,G13)</f>
        <v/>
      </c>
      <c r="J13" s="39">
        <f>SUMIFS(KPI_Data!$G$4:$G$295,KPI_Data!$B$4:$B$295,$B$1,KPI_Data!$C$4:$C$295,"Cycle Count",KPI_Data!$A$4:$A$295,G13)</f>
        <v/>
      </c>
      <c r="K13" s="61">
        <f>IFERROR(I13/J13,"")</f>
        <v/>
      </c>
      <c r="M13" s="60">
        <f>EDATE(M12,1)</f>
        <v/>
      </c>
      <c r="N13" s="61">
        <f>INDEX('KPI Schedule'!$B$5:$B$10,MATCH("Order Cut Off",'KPI Schedule'!$A$5:$A$10,0))</f>
        <v/>
      </c>
      <c r="O13" s="39">
        <f>SUMIFS(KPI_Data!$F$4:$F$295,KPI_Data!$B$4:$B$295,$B$1,KPI_Data!$C$4:$C$295,"Order Cut Off",KPI_Data!$A$4:$A$295,M13)</f>
        <v/>
      </c>
      <c r="P13" s="39">
        <f>SUMIFS(KPI_Data!$G$4:$G$295,KPI_Data!$B$4:$B$295,$B$1,KPI_Data!$C$4:$C$295,"Order Cut Off",KPI_Data!$A$4:$A$295,M13)</f>
        <v/>
      </c>
      <c r="Q13" s="61">
        <f>IFERROR(O13/P13,"")</f>
        <v/>
      </c>
      <c r="S13" s="60">
        <f>EDATE(S12,1)</f>
        <v/>
      </c>
      <c r="T13" s="61">
        <f>INDEX('KPI Schedule'!$B$5:$B$10,MATCH("Order Accuracy by Unit",'KPI Schedule'!$A$5:$A$10,0))</f>
        <v/>
      </c>
      <c r="U13" s="39">
        <f>SUMIFS(KPI_Data!$F$4:$F$295,KPI_Data!$B$4:$B$295,$B$1,KPI_Data!$C$4:$C$295,"Order Accuracy by Unit",KPI_Data!$A$4:$A$295,S13)</f>
        <v/>
      </c>
      <c r="V13" s="39">
        <f>SUMIFS(KPI_Data!$G$4:$G$295,KPI_Data!$B$4:$B$295,$B$1,KPI_Data!$C$4:$C$295,"Order Accuracy by Unit",KPI_Data!$A$4:$A$295,S13)</f>
        <v/>
      </c>
      <c r="W13" s="61">
        <f>IFERROR(U13/V13,"")</f>
        <v/>
      </c>
      <c r="Y13" s="60">
        <f>EDATE(Y12,1)</f>
        <v/>
      </c>
      <c r="Z13" s="61">
        <f>INDEX('KPI Schedule'!$B$5:$B$10,MATCH("Freight DIFOT",'KPI Schedule'!$A$5:$A$10,0))</f>
        <v/>
      </c>
      <c r="AA13" s="39">
        <f>SUMIFS(KPI_Data!$F$4:$F$295,KPI_Data!$B$4:$B$295,$B$1,KPI_Data!$C$4:$C$295,"Freight DIFOT",KPI_Data!$A$4:$A$295,Y13)</f>
        <v/>
      </c>
      <c r="AB13" s="39">
        <f>SUMIFS(KPI_Data!$G$4:$G$295,KPI_Data!$B$4:$B$295,$B$1,KPI_Data!$C$4:$C$295,"Freight DIFOT",KPI_Data!$A$4:$A$295,Y13)</f>
        <v/>
      </c>
      <c r="AC13" s="61">
        <f>IFERROR(AA13/AB13,"")</f>
        <v/>
      </c>
    </row>
    <row r="14" ht="15" customHeight="1" s="34">
      <c r="A14" s="60">
        <f>EDATE(A13,1)</f>
        <v/>
      </c>
      <c r="B14" s="61">
        <f>INDEX('KPI Schedule'!$B$5:$B$10,MATCH("Dock to Stock",'KPI Schedule'!$A$5:$A$10,0))</f>
        <v/>
      </c>
      <c r="C14" s="39">
        <f>SUMIFS(KPI_Data!$F$4:$F$295,KPI_Data!$B$4:$B$295,$B$1,KPI_Data!$C$4:$C$295,"Dock to Stock",KPI_Data!$A$4:$A$295,A14)</f>
        <v/>
      </c>
      <c r="D14" s="39">
        <f>SUMIFS(KPI_Data!$G$4:$G$295,KPI_Data!$B$4:$B$295,$B$1,KPI_Data!$C$4:$C$295,"Dock to Stock",KPI_Data!$A$4:$A$295,A14)</f>
        <v/>
      </c>
      <c r="E14" s="61">
        <f>IFERROR(C14/D14,"")</f>
        <v/>
      </c>
      <c r="G14" s="60">
        <f>EDATE(G13,1)</f>
        <v/>
      </c>
      <c r="H14" s="61">
        <f>INDEX('KPI Schedule'!$B$5:$B$10,MATCH("Cycle Count",'KPI Schedule'!$A$5:$A$10,0))</f>
        <v/>
      </c>
      <c r="I14" s="39">
        <f>SUMIFS(KPI_Data!$F$4:$F$295,KPI_Data!$B$4:$B$295,$B$1,KPI_Data!$C$4:$C$295,"Cycle Count",KPI_Data!$A$4:$A$295,G14)</f>
        <v/>
      </c>
      <c r="J14" s="39">
        <f>SUMIFS(KPI_Data!$G$4:$G$295,KPI_Data!$B$4:$B$295,$B$1,KPI_Data!$C$4:$C$295,"Cycle Count",KPI_Data!$A$4:$A$295,G14)</f>
        <v/>
      </c>
      <c r="K14" s="61">
        <f>IFERROR(I14/J14,"")</f>
        <v/>
      </c>
      <c r="M14" s="60">
        <f>EDATE(M13,1)</f>
        <v/>
      </c>
      <c r="N14" s="61">
        <f>INDEX('KPI Schedule'!$B$5:$B$10,MATCH("Order Cut Off",'KPI Schedule'!$A$5:$A$10,0))</f>
        <v/>
      </c>
      <c r="O14" s="39">
        <f>SUMIFS(KPI_Data!$F$4:$F$295,KPI_Data!$B$4:$B$295,$B$1,KPI_Data!$C$4:$C$295,"Order Cut Off",KPI_Data!$A$4:$A$295,M14)</f>
        <v/>
      </c>
      <c r="P14" s="39">
        <f>SUMIFS(KPI_Data!$G$4:$G$295,KPI_Data!$B$4:$B$295,$B$1,KPI_Data!$C$4:$C$295,"Order Cut Off",KPI_Data!$A$4:$A$295,M14)</f>
        <v/>
      </c>
      <c r="Q14" s="61">
        <f>IFERROR(O14/P14,"")</f>
        <v/>
      </c>
      <c r="S14" s="60">
        <f>EDATE(S13,1)</f>
        <v/>
      </c>
      <c r="T14" s="61">
        <f>INDEX('KPI Schedule'!$B$5:$B$10,MATCH("Order Accuracy by Unit",'KPI Schedule'!$A$5:$A$10,0))</f>
        <v/>
      </c>
      <c r="U14" s="39">
        <f>SUMIFS(KPI_Data!$F$4:$F$295,KPI_Data!$B$4:$B$295,$B$1,KPI_Data!$C$4:$C$295,"Order Accuracy by Unit",KPI_Data!$A$4:$A$295,S14)</f>
        <v/>
      </c>
      <c r="V14" s="39">
        <f>SUMIFS(KPI_Data!$G$4:$G$295,KPI_Data!$B$4:$B$295,$B$1,KPI_Data!$C$4:$C$295,"Order Accuracy by Unit",KPI_Data!$A$4:$A$295,S14)</f>
        <v/>
      </c>
      <c r="W14" s="61">
        <f>IFERROR(U14/V14,"")</f>
        <v/>
      </c>
      <c r="Y14" s="60">
        <f>EDATE(Y13,1)</f>
        <v/>
      </c>
      <c r="Z14" s="61">
        <f>INDEX('KPI Schedule'!$B$5:$B$10,MATCH("Freight DIFOT",'KPI Schedule'!$A$5:$A$10,0))</f>
        <v/>
      </c>
      <c r="AA14" s="39">
        <f>SUMIFS(KPI_Data!$F$4:$F$295,KPI_Data!$B$4:$B$295,$B$1,KPI_Data!$C$4:$C$295,"Freight DIFOT",KPI_Data!$A$4:$A$295,Y14)</f>
        <v/>
      </c>
      <c r="AB14" s="39">
        <f>SUMIFS(KPI_Data!$G$4:$G$295,KPI_Data!$B$4:$B$295,$B$1,KPI_Data!$C$4:$C$295,"Freight DIFOT",KPI_Data!$A$4:$A$295,Y14)</f>
        <v/>
      </c>
      <c r="AC14" s="61">
        <f>IFERROR(AA14/AB14,"")</f>
        <v/>
      </c>
    </row>
    <row r="15" ht="15" customHeight="1" s="34">
      <c r="A15" s="60">
        <f>EDATE(A14,1)</f>
        <v/>
      </c>
      <c r="B15" s="61">
        <f>INDEX('KPI Schedule'!$B$5:$B$10,MATCH("Dock to Stock",'KPI Schedule'!$A$5:$A$10,0))</f>
        <v/>
      </c>
      <c r="C15" s="39">
        <f>SUMIFS(KPI_Data!$F$4:$F$295,KPI_Data!$B$4:$B$295,$B$1,KPI_Data!$C$4:$C$295,"Dock to Stock",KPI_Data!$A$4:$A$295,A15)</f>
        <v/>
      </c>
      <c r="D15" s="39">
        <f>SUMIFS(KPI_Data!$G$4:$G$295,KPI_Data!$B$4:$B$295,$B$1,KPI_Data!$C$4:$C$295,"Dock to Stock",KPI_Data!$A$4:$A$295,A15)</f>
        <v/>
      </c>
      <c r="E15" s="61">
        <f>IFERROR(C15/D15,"")</f>
        <v/>
      </c>
      <c r="G15" s="60">
        <f>EDATE(G14,1)</f>
        <v/>
      </c>
      <c r="H15" s="61">
        <f>INDEX('KPI Schedule'!$B$5:$B$10,MATCH("Cycle Count",'KPI Schedule'!$A$5:$A$10,0))</f>
        <v/>
      </c>
      <c r="I15" s="39">
        <f>SUMIFS(KPI_Data!$F$4:$F$295,KPI_Data!$B$4:$B$295,$B$1,KPI_Data!$C$4:$C$295,"Cycle Count",KPI_Data!$A$4:$A$295,G15)</f>
        <v/>
      </c>
      <c r="J15" s="39">
        <f>SUMIFS(KPI_Data!$G$4:$G$295,KPI_Data!$B$4:$B$295,$B$1,KPI_Data!$C$4:$C$295,"Cycle Count",KPI_Data!$A$4:$A$295,G15)</f>
        <v/>
      </c>
      <c r="K15" s="61">
        <f>IFERROR(I15/J15,"")</f>
        <v/>
      </c>
      <c r="M15" s="60">
        <f>EDATE(M14,1)</f>
        <v/>
      </c>
      <c r="N15" s="61">
        <f>INDEX('KPI Schedule'!$B$5:$B$10,MATCH("Order Cut Off",'KPI Schedule'!$A$5:$A$10,0))</f>
        <v/>
      </c>
      <c r="O15" s="39">
        <f>SUMIFS(KPI_Data!$F$4:$F$295,KPI_Data!$B$4:$B$295,$B$1,KPI_Data!$C$4:$C$295,"Order Cut Off",KPI_Data!$A$4:$A$295,M15)</f>
        <v/>
      </c>
      <c r="P15" s="39">
        <f>SUMIFS(KPI_Data!$G$4:$G$295,KPI_Data!$B$4:$B$295,$B$1,KPI_Data!$C$4:$C$295,"Order Cut Off",KPI_Data!$A$4:$A$295,M15)</f>
        <v/>
      </c>
      <c r="Q15" s="61">
        <f>IFERROR(O15/P15,"")</f>
        <v/>
      </c>
      <c r="S15" s="60">
        <f>EDATE(S14,1)</f>
        <v/>
      </c>
      <c r="T15" s="61">
        <f>INDEX('KPI Schedule'!$B$5:$B$10,MATCH("Order Accuracy by Unit",'KPI Schedule'!$A$5:$A$10,0))</f>
        <v/>
      </c>
      <c r="U15" s="39">
        <f>SUMIFS(KPI_Data!$F$4:$F$295,KPI_Data!$B$4:$B$295,$B$1,KPI_Data!$C$4:$C$295,"Order Accuracy by Unit",KPI_Data!$A$4:$A$295,S15)</f>
        <v/>
      </c>
      <c r="V15" s="39">
        <f>SUMIFS(KPI_Data!$G$4:$G$295,KPI_Data!$B$4:$B$295,$B$1,KPI_Data!$C$4:$C$295,"Order Accuracy by Unit",KPI_Data!$A$4:$A$295,S15)</f>
        <v/>
      </c>
      <c r="W15" s="61">
        <f>IFERROR(U15/V15,"")</f>
        <v/>
      </c>
      <c r="Y15" s="60">
        <f>EDATE(Y14,1)</f>
        <v/>
      </c>
      <c r="Z15" s="61">
        <f>INDEX('KPI Schedule'!$B$5:$B$10,MATCH("Freight DIFOT",'KPI Schedule'!$A$5:$A$10,0))</f>
        <v/>
      </c>
      <c r="AA15" s="39">
        <f>SUMIFS(KPI_Data!$F$4:$F$295,KPI_Data!$B$4:$B$295,$B$1,KPI_Data!$C$4:$C$295,"Freight DIFOT",KPI_Data!$A$4:$A$295,Y15)</f>
        <v/>
      </c>
      <c r="AB15" s="39">
        <f>SUMIFS(KPI_Data!$G$4:$G$295,KPI_Data!$B$4:$B$295,$B$1,KPI_Data!$C$4:$C$295,"Freight DIFOT",KPI_Data!$A$4:$A$295,Y15)</f>
        <v/>
      </c>
      <c r="AC15" s="61">
        <f>IFERROR(AA15/AB15,"")</f>
        <v/>
      </c>
    </row>
    <row r="16" ht="15" customHeight="1" s="34">
      <c r="A16" s="60">
        <f>EDATE(A15,1)</f>
        <v/>
      </c>
      <c r="B16" s="61">
        <f>INDEX('KPI Schedule'!$B$5:$B$10,MATCH("Dock to Stock",'KPI Schedule'!$A$5:$A$10,0))</f>
        <v/>
      </c>
      <c r="C16" s="39">
        <f>SUMIFS(KPI_Data!$F$4:$F$295,KPI_Data!$B$4:$B$295,$B$1,KPI_Data!$C$4:$C$295,"Dock to Stock",KPI_Data!$A$4:$A$295,A16)</f>
        <v/>
      </c>
      <c r="D16" s="39">
        <f>SUMIFS(KPI_Data!$G$4:$G$295,KPI_Data!$B$4:$B$295,$B$1,KPI_Data!$C$4:$C$295,"Dock to Stock",KPI_Data!$A$4:$A$295,A16)</f>
        <v/>
      </c>
      <c r="E16" s="61">
        <f>IFERROR(C16/D16,"")</f>
        <v/>
      </c>
      <c r="G16" s="60">
        <f>EDATE(G15,1)</f>
        <v/>
      </c>
      <c r="H16" s="61">
        <f>INDEX('KPI Schedule'!$B$5:$B$10,MATCH("Cycle Count",'KPI Schedule'!$A$5:$A$10,0))</f>
        <v/>
      </c>
      <c r="I16" s="39">
        <f>SUMIFS(KPI_Data!$F$4:$F$295,KPI_Data!$B$4:$B$295,$B$1,KPI_Data!$C$4:$C$295,"Cycle Count",KPI_Data!$A$4:$A$295,G16)</f>
        <v/>
      </c>
      <c r="J16" s="39">
        <f>SUMIFS(KPI_Data!$G$4:$G$295,KPI_Data!$B$4:$B$295,$B$1,KPI_Data!$C$4:$C$295,"Cycle Count",KPI_Data!$A$4:$A$295,G16)</f>
        <v/>
      </c>
      <c r="K16" s="61">
        <f>IFERROR(I16/J16,"")</f>
        <v/>
      </c>
      <c r="M16" s="60">
        <f>EDATE(M15,1)</f>
        <v/>
      </c>
      <c r="N16" s="61">
        <f>INDEX('KPI Schedule'!$B$5:$B$10,MATCH("Order Cut Off",'KPI Schedule'!$A$5:$A$10,0))</f>
        <v/>
      </c>
      <c r="O16" s="39">
        <f>SUMIFS(KPI_Data!$F$4:$F$295,KPI_Data!$B$4:$B$295,$B$1,KPI_Data!$C$4:$C$295,"Order Cut Off",KPI_Data!$A$4:$A$295,M16)</f>
        <v/>
      </c>
      <c r="P16" s="39">
        <f>SUMIFS(KPI_Data!$G$4:$G$295,KPI_Data!$B$4:$B$295,$B$1,KPI_Data!$C$4:$C$295,"Order Cut Off",KPI_Data!$A$4:$A$295,M16)</f>
        <v/>
      </c>
      <c r="Q16" s="61">
        <f>IFERROR(O16/P16,"")</f>
        <v/>
      </c>
      <c r="S16" s="60">
        <f>EDATE(S15,1)</f>
        <v/>
      </c>
      <c r="T16" s="61">
        <f>INDEX('KPI Schedule'!$B$5:$B$10,MATCH("Order Accuracy by Unit",'KPI Schedule'!$A$5:$A$10,0))</f>
        <v/>
      </c>
      <c r="U16" s="39">
        <f>SUMIFS(KPI_Data!$F$4:$F$295,KPI_Data!$B$4:$B$295,$B$1,KPI_Data!$C$4:$C$295,"Order Accuracy by Unit",KPI_Data!$A$4:$A$295,S16)</f>
        <v/>
      </c>
      <c r="V16" s="39">
        <f>SUMIFS(KPI_Data!$G$4:$G$295,KPI_Data!$B$4:$B$295,$B$1,KPI_Data!$C$4:$C$295,"Order Accuracy by Unit",KPI_Data!$A$4:$A$295,S16)</f>
        <v/>
      </c>
      <c r="W16" s="61">
        <f>IFERROR(U16/V16,"")</f>
        <v/>
      </c>
      <c r="Y16" s="60">
        <f>EDATE(Y15,1)</f>
        <v/>
      </c>
      <c r="Z16" s="61">
        <f>INDEX('KPI Schedule'!$B$5:$B$10,MATCH("Freight DIFOT",'KPI Schedule'!$A$5:$A$10,0))</f>
        <v/>
      </c>
      <c r="AA16" s="39">
        <f>SUMIFS(KPI_Data!$F$4:$F$295,KPI_Data!$B$4:$B$295,$B$1,KPI_Data!$C$4:$C$295,"Freight DIFOT",KPI_Data!$A$4:$A$295,Y16)</f>
        <v/>
      </c>
      <c r="AB16" s="39">
        <f>SUMIFS(KPI_Data!$G$4:$G$295,KPI_Data!$B$4:$B$295,$B$1,KPI_Data!$C$4:$C$295,"Freight DIFOT",KPI_Data!$A$4:$A$295,Y16)</f>
        <v/>
      </c>
      <c r="AC16" s="61">
        <f>IFERROR(AA16/AB16,"")</f>
        <v/>
      </c>
    </row>
    <row r="19" ht="15" customHeight="1" s="34">
      <c r="A19" s="42" t="inlineStr">
        <is>
          <t>Carrier</t>
        </is>
      </c>
      <c r="B19" s="42" t="inlineStr">
        <is>
          <t>Target</t>
        </is>
      </c>
      <c r="C19" s="42" t="inlineStr">
        <is>
          <t>Numerator</t>
        </is>
      </c>
      <c r="D19" s="42" t="inlineStr">
        <is>
          <t>Denominator</t>
        </is>
      </c>
      <c r="E19" s="42" t="inlineStr">
        <is>
          <t>Actual %</t>
        </is>
      </c>
    </row>
    <row r="20" ht="15" customHeight="1" s="34">
      <c r="A20" s="39" t="inlineStr">
        <is>
          <t>NZ Couriers</t>
        </is>
      </c>
      <c r="B20" s="61">
        <f>INDEX('KPI Schedule'!$B$5:$B$10,MATCH("Freight DIFOT",'KPI Schedule'!$A$5:$A$10,0))</f>
        <v/>
      </c>
      <c r="C20" s="39">
        <f>SUMIFS(KPI_Data!$F$4:$F$295,KPI_Data!$B$4:$B$295,$B$1,KPI_Data!$C$4:$C$295,"Freight DIFOT",KPI_Data!$D$4:$D$295,A20,KPI_Data!$A$4:$A$295,$B$2)</f>
        <v/>
      </c>
      <c r="D20" s="39">
        <f>SUMIFS(KPI_Data!$G$4:$G$295,KPI_Data!$B$4:$B$295,$B$1,KPI_Data!$C$4:$C$295,"Freight DIFOT",KPI_Data!$D$4:$D$295,A20,KPI_Data!$A$4:$A$295,$B$2)</f>
        <v/>
      </c>
      <c r="E20" s="61">
        <f>IFERROR(C20/D20,"")</f>
        <v/>
      </c>
    </row>
    <row r="21" ht="15" customHeight="1" s="34">
      <c r="A21" s="39" t="inlineStr">
        <is>
          <t>PBT Transport</t>
        </is>
      </c>
      <c r="B21" s="61">
        <f>INDEX('KPI Schedule'!$B$5:$B$10,MATCH("Freight DIFOT",'KPI Schedule'!$A$5:$A$10,0))</f>
        <v/>
      </c>
      <c r="C21" s="39">
        <f>SUMIFS(KPI_Data!$F$4:$F$295,KPI_Data!$B$4:$B$295,$B$1,KPI_Data!$C$4:$C$295,"Freight DIFOT",KPI_Data!$D$4:$D$295,A21,KPI_Data!$A$4:$A$295,$B$2)</f>
        <v/>
      </c>
      <c r="D21" s="39">
        <f>SUMIFS(KPI_Data!$G$4:$G$295,KPI_Data!$B$4:$B$295,$B$1,KPI_Data!$C$4:$C$295,"Freight DIFOT",KPI_Data!$D$4:$D$295,A21,KPI_Data!$A$4:$A$295,$B$2)</f>
        <v/>
      </c>
      <c r="E21" s="61">
        <f>IFERROR(C21/D21,"")</f>
        <v/>
      </c>
    </row>
    <row r="24" ht="15" customHeight="1" s="34">
      <c r="A24" s="42" t="inlineStr">
        <is>
          <t>Year</t>
        </is>
      </c>
      <c r="B24" s="42" t="inlineStr">
        <is>
          <t>Target</t>
        </is>
      </c>
      <c r="C24" s="42" t="inlineStr">
        <is>
          <t>Numerator</t>
        </is>
      </c>
      <c r="D24" s="42" t="inlineStr">
        <is>
          <t>Denominator</t>
        </is>
      </c>
      <c r="E24" s="42" t="inlineStr">
        <is>
          <t>Actual %</t>
        </is>
      </c>
    </row>
    <row r="25" ht="15" customHeight="1" s="34">
      <c r="A25" s="39">
        <f>YEAR($B$2)-1</f>
        <v/>
      </c>
      <c r="B25" s="61">
        <f>INDEX('KPI Schedule'!$B$5:$B$10,MATCH("Stock Accuracy",'KPI Schedule'!$A$5:$A$10,0))</f>
        <v/>
      </c>
      <c r="C25" s="39">
        <f>SUMPRODUCT((KPI_Data!$B$4:$B$295=$B$1)*(KPI_Data!$C$4:$C$295="Stock Accuracy")*(YEAR(KPI_Data!$A$4:$A$295)=A25)*KPI_Data!$F$4:$F$295)</f>
        <v/>
      </c>
      <c r="D25" s="39">
        <f>SUMPRODUCT((KPI_Data!$B$4:$B$295=$B$1)*(KPI_Data!$C$4:$C$295="Stock Accuracy")*(YEAR(KPI_Data!$A$4:$A$295)=A25)*KPI_Data!$G$4:$G$295)</f>
        <v/>
      </c>
      <c r="E25" s="61">
        <f>IFERROR(C25/D25,"")</f>
        <v/>
      </c>
    </row>
    <row r="26" ht="15" customHeight="1" s="34">
      <c r="A26" s="39">
        <f>YEAR($B$2)</f>
        <v/>
      </c>
      <c r="B26" s="61">
        <f>INDEX('KPI Schedule'!$B$5:$B$10,MATCH("Stock Accuracy",'KPI Schedule'!$A$5:$A$10,0))</f>
        <v/>
      </c>
      <c r="C26" s="39">
        <f>SUMPRODUCT((KPI_Data!$B$4:$B$295=$B$1)*(KPI_Data!$C$4:$C$295="Stock Accuracy")*(YEAR(KPI_Data!$A$4:$A$295)=A26)*KPI_Data!$F$4:$F$295)</f>
        <v/>
      </c>
      <c r="D26" s="39">
        <f>SUMPRODUCT((KPI_Data!$B$4:$B$295=$B$1)*(KPI_Data!$C$4:$C$295="Stock Accuracy")*(YEAR(KPI_Data!$A$4:$A$295)=A26)*KPI_Data!$G$4:$G$295)</f>
        <v/>
      </c>
      <c r="E26" s="61">
        <f>IFERROR(C26/D26,"")</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702797C59B384BA5825BD7F91C8FA6" ma:contentTypeVersion="14" ma:contentTypeDescription="Create a new document." ma:contentTypeScope="" ma:versionID="ed5aae9864b7dcbba9993313f29ed662">
  <xsd:schema xmlns:xsd="http://www.w3.org/2001/XMLSchema" xmlns:xs="http://www.w3.org/2001/XMLSchema" xmlns:p="http://schemas.microsoft.com/office/2006/metadata/properties" xmlns:ns2="7e670929-1bdc-480c-8510-e43a2a862a6e" xmlns:ns3="e1750f8f-64a8-40e8-9e0c-21710cc1a7bb" targetNamespace="http://schemas.microsoft.com/office/2006/metadata/properties" ma:root="true" ma:fieldsID="59a292da2c54c23b9d44e0544df2ef32" ns2:_="" ns3:_="">
    <xsd:import namespace="7e670929-1bdc-480c-8510-e43a2a862a6e"/>
    <xsd:import namespace="e1750f8f-64a8-40e8-9e0c-21710cc1a7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Access" minOccurs="0"/>
                <xsd:element ref="ns2:Access_x002f_Info"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670929-1bdc-480c-8510-e43a2a862a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25c28e6-01a0-48d2-b828-62504f505dd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Access" ma:index="18" nillable="true" ma:displayName="Access" ma:description="Who gets access&#10;" ma:format="Dropdown" ma:internalName="Access">
      <xsd:simpleType>
        <xsd:restriction base="dms:Text">
          <xsd:maxLength value="255"/>
        </xsd:restriction>
      </xsd:simpleType>
    </xsd:element>
    <xsd:element name="Access_x002f_Info" ma:index="19" nillable="true" ma:displayName="Access/ Info " ma:format="Dropdown" ma:internalName="Access_x002f_Info">
      <xsd:simpleType>
        <xsd:restriction base="dms:Text">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1750f8f-64a8-40e8-9e0c-21710cc1a7b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6fa16d-c7d6-4694-aac4-2bac9e86d8b0}" ma:internalName="TaxCatchAll" ma:showField="CatchAllData" ma:web="e1750f8f-64a8-40e8-9e0c-21710cc1a7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ccess xmlns="7e670929-1bdc-480c-8510-e43a2a862a6e" xsi:nil="true"/>
    <lcf76f155ced4ddcb4097134ff3c332f xmlns="7e670929-1bdc-480c-8510-e43a2a862a6e">
      <Terms xmlns="http://schemas.microsoft.com/office/infopath/2007/PartnerControls"/>
    </lcf76f155ced4ddcb4097134ff3c332f>
    <TaxCatchAll xmlns="e1750f8f-64a8-40e8-9e0c-21710cc1a7bb" xsi:nil="true"/>
    <Access_x002f_Info xmlns="7e670929-1bdc-480c-8510-e43a2a862a6e" xsi:nil="true"/>
  </documentManagement>
</p:properties>
</file>

<file path=customXml/itemProps1.xml><?xml version="1.0" encoding="utf-8"?>
<ds:datastoreItem xmlns:ds="http://schemas.openxmlformats.org/officeDocument/2006/customXml" ds:itemID="{7D47624E-4852-412B-BB30-A015991298E1}"/>
</file>

<file path=customXml/itemProps2.xml><?xml version="1.0" encoding="utf-8"?>
<ds:datastoreItem xmlns:ds="http://schemas.openxmlformats.org/officeDocument/2006/customXml" ds:itemID="{F0D34DCA-42E2-4205-B659-6549C51CEC19}"/>
</file>

<file path=customXml/itemProps3.xml><?xml version="1.0" encoding="utf-8"?>
<ds:datastoreItem xmlns:ds="http://schemas.openxmlformats.org/officeDocument/2006/customXml" ds:itemID="{8FF7BC3D-B7B7-4F41-B9CF-0B8B22B60CB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2026-06-10T23:21:10Z</dcterms:created>
  <dcterms:modified xsi:type="dcterms:W3CDTF">2026-09-16T02:10:36Z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0x010100CB702797C59B384BA5825BD7F91C8FA6</vt:lpwstr>
  </property>
</Properties>
</file>